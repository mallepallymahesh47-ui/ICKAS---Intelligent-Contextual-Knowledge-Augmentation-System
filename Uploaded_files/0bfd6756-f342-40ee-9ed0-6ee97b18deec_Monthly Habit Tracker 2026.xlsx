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 2026" sheetId="1" r:id="rId4"/>
    <sheet state="visible" name="General Instructions" sheetId="2" r:id="rId5"/>
  </sheets>
  <definedNames/>
  <calcPr/>
</workbook>
</file>

<file path=xl/sharedStrings.xml><?xml version="1.0" encoding="utf-8"?>
<sst xmlns="http://schemas.openxmlformats.org/spreadsheetml/2006/main" count="84" uniqueCount="63">
  <si>
    <t xml:space="preserve"> </t>
  </si>
  <si>
    <t>January</t>
  </si>
  <si>
    <t>HABIT TRACKER</t>
  </si>
  <si>
    <t>OVERVIEW MONTHLY PROGRESS</t>
  </si>
  <si>
    <t>February</t>
  </si>
  <si>
    <t>COMPLETED</t>
  </si>
  <si>
    <t>March</t>
  </si>
  <si>
    <t>LEFT</t>
  </si>
  <si>
    <t>April</t>
  </si>
  <si>
    <t>TARGET</t>
  </si>
  <si>
    <t>May</t>
  </si>
  <si>
    <t>June</t>
  </si>
  <si>
    <t>July</t>
  </si>
  <si>
    <t>August</t>
  </si>
  <si>
    <t>CALENDER SETTINGS</t>
  </si>
  <si>
    <t>September</t>
  </si>
  <si>
    <t>YEAR</t>
  </si>
  <si>
    <t>October</t>
  </si>
  <si>
    <t>MONTH</t>
  </si>
  <si>
    <t>November</t>
  </si>
  <si>
    <t>December</t>
  </si>
  <si>
    <t>OVERVIEW</t>
  </si>
  <si>
    <t>WEEK 1</t>
  </si>
  <si>
    <t>WEEK 2</t>
  </si>
  <si>
    <t>WEEK 3</t>
  </si>
  <si>
    <t>WEEK 4</t>
  </si>
  <si>
    <t>WEEK 5</t>
  </si>
  <si>
    <t>TOP 10 DAILY HABITS</t>
  </si>
  <si>
    <t>OVERALL PROGRESS</t>
  </si>
  <si>
    <t>GOAL</t>
  </si>
  <si>
    <t>WEEKLY PROGRESS</t>
  </si>
  <si>
    <t>DAILY HABITS</t>
  </si>
  <si>
    <t>GOALS</t>
  </si>
  <si>
    <t>Wake up without snoozing</t>
  </si>
  <si>
    <t>Social Media &lt; 60 minutes</t>
  </si>
  <si>
    <t>Drink 2-3L of Water</t>
  </si>
  <si>
    <t>Read (5-10 page)</t>
  </si>
  <si>
    <t>One proactive work action</t>
  </si>
  <si>
    <t>Movement/Exercise (30 minutes)</t>
  </si>
  <si>
    <t>Sleep before 11 PM</t>
  </si>
  <si>
    <t>Learn 1 work-relevant skill (15 min)</t>
  </si>
  <si>
    <t>Write 1 page/Journel</t>
  </si>
  <si>
    <t>Sleep before Midnight</t>
  </si>
  <si>
    <t>HOW TO USE THE HABIT TRACKER</t>
  </si>
  <si>
    <t>Make a copy of the sheet to your Google Drive</t>
  </si>
  <si>
    <t>(File → Make a copy)</t>
  </si>
  <si>
    <t>In the Daily Habits column,</t>
  </si>
  <si>
    <t>replace the habits with the ones you actually want to fix</t>
  </si>
  <si>
    <t>(Sleep, workout, junk food, study, etc.)</t>
  </si>
  <si>
    <t>Tick the checkbox only if you completed the habit that day</t>
  </si>
  <si>
    <t>No partial credit. No excuses.</t>
  </si>
  <si>
    <t>Track daily, not weekly</t>
  </si>
  <si>
    <t>Missed days show up immediately — that’s the point.</t>
  </si>
  <si>
    <t>Review your sheet once a week</t>
  </si>
  <si>
    <t>Low scores = habits you’re lying to yourself about.</t>
  </si>
  <si>
    <t>IMPORTANT RULES</t>
  </si>
  <si>
    <t>Don’t add 20 habits. 5–10 max.</t>
  </si>
  <si>
    <t>If you miss a habit 2 days in a row, reset the streak.</t>
  </si>
  <si>
    <t>This is tracking, not motivation. Use it honestly or don’t use it.</t>
  </si>
  <si>
    <t>FINAL NOTE</t>
  </si>
  <si>
    <t>This tracker won’t change your life.</t>
  </si>
  <si>
    <t>Your consistency will.</t>
  </si>
  <si>
    <t>The sheet only exposes reality.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</si>
</sst>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"/>
    <numFmt numFmtId="165" formatCode="d"/>
  </numFmts>
  <fonts count="22">
    <font>
      <sz val="10.0"/>
      <color rgb="FF000000"/>
      <name val="Arial"/>
      <scheme val="minor"/>
    </font>
    <font>
      <color theme="1"/>
      <name val="Calibri"/>
    </font>
    <font>
      <color rgb="FFFFFFFF"/>
      <name val="Calibri"/>
    </font>
    <font>
      <b/>
      <sz val="20.0"/>
      <color rgb="FFFFFFFF"/>
      <name val="Calibri"/>
    </font>
    <font/>
    <font>
      <b/>
      <sz val="12.0"/>
      <color theme="1"/>
      <name val="Calibri"/>
    </font>
    <font>
      <sz val="14.0"/>
      <color rgb="FF000000"/>
      <name val="Calibri"/>
    </font>
    <font>
      <b/>
      <color theme="1"/>
      <name val="Calibri"/>
    </font>
    <font>
      <color rgb="FFFFFFFF"/>
      <name val="Arial"/>
      <scheme val="minor"/>
    </font>
    <font>
      <b/>
      <sz val="15.0"/>
      <color rgb="FFFFFFFF"/>
      <name val="Calibri"/>
    </font>
    <font>
      <b/>
      <sz val="12.0"/>
      <color rgb="FFFFFFFF"/>
      <name val="Calibri"/>
    </font>
    <font>
      <b/>
      <sz val="14.0"/>
      <color theme="1"/>
      <name val="Calibri"/>
    </font>
    <font>
      <b/>
      <sz val="14.0"/>
      <color rgb="FFFFFFFF"/>
      <name val="Calibri"/>
    </font>
    <font>
      <b/>
      <sz val="11.0"/>
      <color rgb="FF000000"/>
      <name val="Calibri"/>
    </font>
    <font>
      <b/>
      <color rgb="FFFFFFFF"/>
      <name val="Calibri"/>
    </font>
    <font>
      <sz val="12.0"/>
      <color theme="1"/>
      <name val="Calibri"/>
    </font>
    <font>
      <color rgb="FFA7C7E7"/>
      <name val="Calibri"/>
    </font>
    <font>
      <color rgb="FF000000"/>
      <name val="Calibri"/>
    </font>
    <font>
      <b/>
      <sz val="18.0"/>
      <color rgb="FF000000"/>
      <name val="Arial"/>
      <scheme val="minor"/>
    </font>
    <font>
      <sz val="18.0"/>
      <color rgb="FF000000"/>
      <name val="Arial"/>
      <scheme val="minor"/>
    </font>
    <font>
      <b/>
      <sz val="14.0"/>
      <color rgb="FF000000"/>
      <name val="Arial"/>
      <scheme val="minor"/>
    </font>
    <font>
      <sz val="14.0"/>
      <color rgb="FF000000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4C1130"/>
        <bgColor rgb="FF4C1130"/>
      </patternFill>
    </fill>
    <fill>
      <patternFill patternType="solid">
        <fgColor rgb="FF38761D"/>
        <bgColor rgb="FF38761D"/>
      </patternFill>
    </fill>
    <fill>
      <patternFill patternType="solid">
        <fgColor rgb="FF1155CC"/>
        <bgColor rgb="FF1155CC"/>
      </patternFill>
    </fill>
    <fill>
      <patternFill patternType="solid">
        <fgColor rgb="FF741B47"/>
        <bgColor rgb="FF741B47"/>
      </patternFill>
    </fill>
    <fill>
      <patternFill patternType="solid">
        <fgColor rgb="FFA61C00"/>
        <bgColor rgb="FFA61C00"/>
      </patternFill>
    </fill>
    <fill>
      <patternFill patternType="solid">
        <fgColor rgb="FF134F5C"/>
        <bgColor rgb="FF134F5C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DD7E6B"/>
        <bgColor rgb="FFDD7E6B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6B26B"/>
        <bgColor rgb="FFF6B26B"/>
      </patternFill>
    </fill>
    <fill>
      <patternFill patternType="solid">
        <fgColor rgb="FFEA9999"/>
        <bgColor rgb="FFEA9999"/>
      </patternFill>
    </fill>
    <fill>
      <patternFill patternType="solid">
        <fgColor rgb="FF6AA84F"/>
        <bgColor rgb="FF6AA84F"/>
      </patternFill>
    </fill>
    <fill>
      <patternFill patternType="solid">
        <fgColor rgb="FF20124D"/>
        <bgColor rgb="FF20124D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274E13"/>
        <bgColor rgb="FF274E13"/>
      </patternFill>
    </fill>
    <fill>
      <patternFill patternType="solid">
        <fgColor rgb="FF1C4587"/>
        <bgColor rgb="FF1C4587"/>
      </patternFill>
    </fill>
    <fill>
      <patternFill patternType="solid">
        <fgColor rgb="FF073763"/>
        <bgColor rgb="FF073763"/>
      </patternFill>
    </fill>
  </fills>
  <borders count="4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CCCCCC"/>
      </bottom>
    </border>
    <border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EFEFEF"/>
      </bottom>
    </border>
    <border>
      <bottom style="thin">
        <color rgb="FFEFEFEF"/>
      </bottom>
    </border>
    <border>
      <right style="thin">
        <color rgb="FF000000"/>
      </righ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EFEFEF"/>
      </bottom>
    </border>
    <border>
      <top style="thin">
        <color rgb="FF000000"/>
      </top>
      <bottom style="thin">
        <color rgb="FFEFEFEF"/>
      </bottom>
    </border>
    <border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000000"/>
      </right>
      <bottom style="thin">
        <color rgb="FFEFEFEF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top style="thin">
        <color rgb="FFCCCCCC"/>
      </top>
      <bottom style="thin">
        <color rgb="FFEFEFEF"/>
      </bottom>
    </border>
    <border>
      <top style="thin">
        <color rgb="FFCCCCCC"/>
      </top>
      <bottom style="thin">
        <color rgb="FFEFEFEF"/>
      </bottom>
    </border>
    <border>
      <right style="thin">
        <color rgb="FF000000"/>
      </right>
      <top style="thin">
        <color rgb="FFCCCCCC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top style="thin">
        <color rgb="FFCCCCCC"/>
      </top>
      <bottom style="thin">
        <color rgb="FF000000"/>
      </bottom>
    </border>
    <border>
      <top style="thin">
        <color rgb="FFCCCCCC"/>
      </top>
      <bottom style="thin">
        <color rgb="FF000000"/>
      </bottom>
    </border>
    <border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right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4" fillId="0" fontId="1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9" fillId="5" fontId="7" numFmtId="0" xfId="0" applyAlignment="1" applyBorder="1" applyFill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6" fontId="7" numFmtId="0" xfId="0" applyAlignment="1" applyBorder="1" applyFill="1" applyFont="1">
      <alignment horizontal="center" readingOrder="0" vertical="center"/>
    </xf>
    <xf borderId="9" fillId="4" fontId="1" numFmtId="0" xfId="0" applyAlignment="1" applyBorder="1" applyFont="1">
      <alignment horizontal="center" readingOrder="0" vertical="center"/>
    </xf>
    <xf borderId="0" fillId="0" fontId="8" numFmtId="0" xfId="0" applyFont="1"/>
    <xf borderId="0" fillId="0" fontId="2" numFmtId="9" xfId="0" applyAlignment="1" applyFont="1" applyNumberFormat="1">
      <alignment horizontal="center" vertical="center"/>
    </xf>
    <xf borderId="1" fillId="7" fontId="9" numFmtId="0" xfId="0" applyAlignment="1" applyBorder="1" applyFill="1" applyFont="1">
      <alignment horizontal="center" readingOrder="0" vertical="center"/>
    </xf>
    <xf borderId="1" fillId="8" fontId="10" numFmtId="0" xfId="0" applyAlignment="1" applyBorder="1" applyFill="1" applyFont="1">
      <alignment horizontal="center" readingOrder="0" vertical="center"/>
    </xf>
    <xf borderId="1" fillId="9" fontId="10" numFmtId="0" xfId="0" applyAlignment="1" applyBorder="1" applyFill="1" applyFont="1">
      <alignment horizontal="center" readingOrder="0" vertical="center"/>
    </xf>
    <xf borderId="1" fillId="10" fontId="10" numFmtId="0" xfId="0" applyAlignment="1" applyBorder="1" applyFill="1" applyFont="1">
      <alignment horizontal="center" readingOrder="0" vertical="center"/>
    </xf>
    <xf borderId="1" fillId="11" fontId="10" numFmtId="0" xfId="0" applyAlignment="1" applyBorder="1" applyFill="1" applyFont="1">
      <alignment horizontal="center" readingOrder="0" vertical="center"/>
    </xf>
    <xf borderId="2" fillId="12" fontId="10" numFmtId="0" xfId="0" applyAlignment="1" applyBorder="1" applyFill="1" applyFont="1">
      <alignment horizontal="center" readingOrder="0" vertical="center"/>
    </xf>
    <xf borderId="1" fillId="3" fontId="11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4" fillId="13" fontId="7" numFmtId="164" xfId="0" applyAlignment="1" applyBorder="1" applyFill="1" applyFont="1" applyNumberFormat="1">
      <alignment horizontal="center" vertical="center"/>
    </xf>
    <xf borderId="0" fillId="13" fontId="7" numFmtId="164" xfId="0" applyAlignment="1" applyFont="1" applyNumberFormat="1">
      <alignment horizontal="center" vertical="center"/>
    </xf>
    <xf borderId="5" fillId="13" fontId="7" numFmtId="164" xfId="0" applyAlignment="1" applyBorder="1" applyFont="1" applyNumberFormat="1">
      <alignment horizontal="center" vertical="center"/>
    </xf>
    <xf borderId="4" fillId="14" fontId="7" numFmtId="164" xfId="0" applyAlignment="1" applyBorder="1" applyFill="1" applyFont="1" applyNumberFormat="1">
      <alignment horizontal="center" vertical="center"/>
    </xf>
    <xf borderId="0" fillId="14" fontId="7" numFmtId="164" xfId="0" applyAlignment="1" applyFont="1" applyNumberFormat="1">
      <alignment horizontal="center" vertical="center"/>
    </xf>
    <xf borderId="5" fillId="14" fontId="7" numFmtId="164" xfId="0" applyAlignment="1" applyBorder="1" applyFont="1" applyNumberFormat="1">
      <alignment horizontal="center" vertical="center"/>
    </xf>
    <xf borderId="4" fillId="15" fontId="7" numFmtId="164" xfId="0" applyAlignment="1" applyBorder="1" applyFill="1" applyFont="1" applyNumberFormat="1">
      <alignment horizontal="center" vertical="center"/>
    </xf>
    <xf borderId="0" fillId="15" fontId="7" numFmtId="164" xfId="0" applyAlignment="1" applyFont="1" applyNumberFormat="1">
      <alignment horizontal="center" vertical="center"/>
    </xf>
    <xf borderId="5" fillId="15" fontId="7" numFmtId="164" xfId="0" applyAlignment="1" applyBorder="1" applyFont="1" applyNumberFormat="1">
      <alignment horizontal="center" vertical="center"/>
    </xf>
    <xf borderId="4" fillId="16" fontId="7" numFmtId="164" xfId="0" applyAlignment="1" applyBorder="1" applyFill="1" applyFont="1" applyNumberFormat="1">
      <alignment horizontal="center" vertical="center"/>
    </xf>
    <xf borderId="0" fillId="16" fontId="7" numFmtId="164" xfId="0" applyAlignment="1" applyFont="1" applyNumberFormat="1">
      <alignment horizontal="center" vertical="center"/>
    </xf>
    <xf borderId="5" fillId="16" fontId="7" numFmtId="164" xfId="0" applyAlignment="1" applyBorder="1" applyFont="1" applyNumberFormat="1">
      <alignment horizontal="center" vertical="center"/>
    </xf>
    <xf borderId="0" fillId="17" fontId="7" numFmtId="164" xfId="0" applyAlignment="1" applyFill="1" applyFont="1" applyNumberFormat="1">
      <alignment horizontal="center" vertical="center"/>
    </xf>
    <xf borderId="5" fillId="17" fontId="7" numFmtId="164" xfId="0" applyAlignment="1" applyBorder="1" applyFont="1" applyNumberFormat="1">
      <alignment horizontal="center" vertical="center"/>
    </xf>
    <xf borderId="6" fillId="13" fontId="7" numFmtId="165" xfId="0" applyAlignment="1" applyBorder="1" applyFont="1" applyNumberFormat="1">
      <alignment horizontal="center" readingOrder="0" vertical="center"/>
    </xf>
    <xf borderId="7" fillId="13" fontId="7" numFmtId="165" xfId="0" applyAlignment="1" applyBorder="1" applyFont="1" applyNumberFormat="1">
      <alignment horizontal="center" readingOrder="0" vertical="center"/>
    </xf>
    <xf borderId="8" fillId="13" fontId="7" numFmtId="165" xfId="0" applyAlignment="1" applyBorder="1" applyFont="1" applyNumberFormat="1">
      <alignment horizontal="center" readingOrder="0" vertical="center"/>
    </xf>
    <xf borderId="6" fillId="14" fontId="7" numFmtId="165" xfId="0" applyAlignment="1" applyBorder="1" applyFont="1" applyNumberFormat="1">
      <alignment horizontal="center" readingOrder="0" vertical="center"/>
    </xf>
    <xf borderId="7" fillId="14" fontId="7" numFmtId="165" xfId="0" applyAlignment="1" applyBorder="1" applyFont="1" applyNumberFormat="1">
      <alignment horizontal="center" readingOrder="0" vertical="center"/>
    </xf>
    <xf borderId="8" fillId="14" fontId="7" numFmtId="165" xfId="0" applyAlignment="1" applyBorder="1" applyFont="1" applyNumberFormat="1">
      <alignment horizontal="center" readingOrder="0" vertical="center"/>
    </xf>
    <xf borderId="6" fillId="15" fontId="7" numFmtId="165" xfId="0" applyAlignment="1" applyBorder="1" applyFont="1" applyNumberFormat="1">
      <alignment horizontal="center" readingOrder="0" vertical="center"/>
    </xf>
    <xf borderId="7" fillId="15" fontId="7" numFmtId="165" xfId="0" applyAlignment="1" applyBorder="1" applyFont="1" applyNumberFormat="1">
      <alignment horizontal="center" readingOrder="0" vertical="center"/>
    </xf>
    <xf borderId="8" fillId="15" fontId="7" numFmtId="165" xfId="0" applyAlignment="1" applyBorder="1" applyFont="1" applyNumberFormat="1">
      <alignment horizontal="center" readingOrder="0" vertical="center"/>
    </xf>
    <xf borderId="6" fillId="16" fontId="7" numFmtId="165" xfId="0" applyAlignment="1" applyBorder="1" applyFont="1" applyNumberFormat="1">
      <alignment horizontal="center" readingOrder="0" vertical="center"/>
    </xf>
    <xf borderId="7" fillId="16" fontId="7" numFmtId="165" xfId="0" applyAlignment="1" applyBorder="1" applyFont="1" applyNumberFormat="1">
      <alignment horizontal="center" readingOrder="0" vertical="center"/>
    </xf>
    <xf borderId="8" fillId="16" fontId="7" numFmtId="165" xfId="0" applyAlignment="1" applyBorder="1" applyFont="1" applyNumberFormat="1">
      <alignment horizontal="center" readingOrder="0" vertical="center"/>
    </xf>
    <xf borderId="7" fillId="17" fontId="7" numFmtId="0" xfId="0" applyAlignment="1" applyBorder="1" applyFont="1">
      <alignment horizontal="center" readingOrder="0" vertical="center"/>
    </xf>
    <xf borderId="8" fillId="17" fontId="7" numFmtId="0" xfId="0" applyAlignment="1" applyBorder="1" applyFont="1">
      <alignment horizontal="center" readingOrder="0" vertical="center"/>
    </xf>
    <xf borderId="1" fillId="18" fontId="5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0" fillId="4" fontId="1" numFmtId="0" xfId="0" applyAlignment="1" applyFont="1">
      <alignment horizontal="center" vertical="center"/>
    </xf>
    <xf borderId="9" fillId="4" fontId="1" numFmtId="0" xfId="0" applyAlignment="1" applyBorder="1" applyFont="1">
      <alignment horizontal="center" vertical="center"/>
    </xf>
    <xf borderId="15" fillId="4" fontId="1" numFmtId="0" xfId="0" applyAlignment="1" applyBorder="1" applyFont="1">
      <alignment horizontal="center" readingOrder="0" vertic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9" fillId="19" fontId="7" numFmtId="0" xfId="0" applyAlignment="1" applyBorder="1" applyFill="1" applyFont="1">
      <alignment horizontal="center" readingOrder="0" vertical="center"/>
    </xf>
    <xf borderId="15" fillId="4" fontId="1" numFmtId="0" xfId="0" applyAlignment="1" applyBorder="1" applyFont="1">
      <alignment horizontal="center" vertical="center"/>
    </xf>
    <xf borderId="9" fillId="20" fontId="7" numFmtId="0" xfId="0" applyAlignment="1" applyBorder="1" applyFill="1" applyFont="1">
      <alignment horizontal="center" readingOrder="0" vertical="center"/>
    </xf>
    <xf borderId="9" fillId="21" fontId="7" numFmtId="0" xfId="0" applyAlignment="1" applyBorder="1" applyFill="1" applyFont="1">
      <alignment horizontal="center" readingOrder="0" vertical="center"/>
    </xf>
    <xf borderId="1" fillId="22" fontId="7" numFmtId="0" xfId="0" applyAlignment="1" applyBorder="1" applyFill="1" applyFont="1">
      <alignment horizontal="center" readingOrder="0" vertical="center"/>
    </xf>
    <xf borderId="9" fillId="4" fontId="1" numFmtId="9" xfId="0" applyAlignment="1" applyBorder="1" applyFont="1" applyNumberFormat="1">
      <alignment horizontal="center" vertical="center"/>
    </xf>
    <xf borderId="6" fillId="4" fontId="1" numFmtId="0" xfId="0" applyAlignment="1" applyBorder="1" applyFont="1">
      <alignment horizontal="center" vertical="center"/>
    </xf>
    <xf borderId="1" fillId="23" fontId="12" numFmtId="0" xfId="0" applyAlignment="1" applyBorder="1" applyFill="1" applyFont="1">
      <alignment horizontal="center" readingOrder="0" vertical="center"/>
    </xf>
    <xf borderId="1" fillId="24" fontId="12" numFmtId="0" xfId="0" applyAlignment="1" applyBorder="1" applyFill="1" applyFont="1">
      <alignment horizontal="center" readingOrder="0" vertical="center"/>
    </xf>
    <xf borderId="1" fillId="25" fontId="10" numFmtId="0" xfId="0" applyAlignment="1" applyBorder="1" applyFill="1" applyFont="1">
      <alignment horizontal="center" readingOrder="0" vertical="center"/>
    </xf>
    <xf borderId="1" fillId="3" fontId="7" numFmtId="0" xfId="0" applyAlignment="1" applyBorder="1" applyFont="1">
      <alignment horizontal="center" readingOrder="0" textRotation="90" vertical="center"/>
    </xf>
    <xf borderId="2" fillId="3" fontId="7" numFmtId="0" xfId="0" applyAlignment="1" applyBorder="1" applyFont="1">
      <alignment horizontal="center" readingOrder="0" textRotation="90" vertical="center"/>
    </xf>
    <xf borderId="2" fillId="3" fontId="7" numFmtId="10" xfId="0" applyAlignment="1" applyBorder="1" applyFont="1" applyNumberFormat="1">
      <alignment horizontal="center" readingOrder="0" textRotation="90" vertical="center"/>
    </xf>
    <xf borderId="2" fillId="3" fontId="13" numFmtId="0" xfId="0" applyAlignment="1" applyBorder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4" fillId="26" fontId="14" numFmtId="164" xfId="0" applyAlignment="1" applyBorder="1" applyFill="1" applyFont="1" applyNumberFormat="1">
      <alignment horizontal="center" vertical="center"/>
    </xf>
    <xf borderId="0" fillId="26" fontId="14" numFmtId="164" xfId="0" applyAlignment="1" applyFont="1" applyNumberFormat="1">
      <alignment horizontal="center" vertical="center"/>
    </xf>
    <xf borderId="5" fillId="26" fontId="14" numFmtId="164" xfId="0" applyAlignment="1" applyBorder="1" applyFont="1" applyNumberFormat="1">
      <alignment horizontal="center" vertical="center"/>
    </xf>
    <xf borderId="4" fillId="27" fontId="14" numFmtId="164" xfId="0" applyAlignment="1" applyBorder="1" applyFill="1" applyFont="1" applyNumberFormat="1">
      <alignment horizontal="center" vertical="center"/>
    </xf>
    <xf borderId="0" fillId="27" fontId="14" numFmtId="164" xfId="0" applyAlignment="1" applyFont="1" applyNumberFormat="1">
      <alignment horizontal="center" vertical="center"/>
    </xf>
    <xf borderId="5" fillId="27" fontId="14" numFmtId="164" xfId="0" applyAlignment="1" applyBorder="1" applyFont="1" applyNumberFormat="1">
      <alignment horizontal="center" vertical="center"/>
    </xf>
    <xf borderId="4" fillId="24" fontId="14" numFmtId="164" xfId="0" applyAlignment="1" applyBorder="1" applyFont="1" applyNumberFormat="1">
      <alignment horizontal="center" vertical="center"/>
    </xf>
    <xf borderId="0" fillId="24" fontId="14" numFmtId="164" xfId="0" applyAlignment="1" applyFont="1" applyNumberFormat="1">
      <alignment horizontal="center" vertical="center"/>
    </xf>
    <xf borderId="5" fillId="24" fontId="14" numFmtId="164" xfId="0" applyAlignment="1" applyBorder="1" applyFont="1" applyNumberFormat="1">
      <alignment horizontal="center" vertical="center"/>
    </xf>
    <xf borderId="0" fillId="28" fontId="14" numFmtId="164" xfId="0" applyAlignment="1" applyFill="1" applyFont="1" applyNumberFormat="1">
      <alignment horizontal="center" vertical="center"/>
    </xf>
    <xf borderId="5" fillId="28" fontId="14" numFmtId="164" xfId="0" applyAlignment="1" applyBorder="1" applyFont="1" applyNumberFormat="1">
      <alignment horizontal="center" vertical="center"/>
    </xf>
    <xf borderId="6" fillId="26" fontId="14" numFmtId="165" xfId="0" applyAlignment="1" applyBorder="1" applyFont="1" applyNumberFormat="1">
      <alignment horizontal="center" readingOrder="0" vertical="center"/>
    </xf>
    <xf borderId="7" fillId="26" fontId="14" numFmtId="165" xfId="0" applyAlignment="1" applyBorder="1" applyFont="1" applyNumberFormat="1">
      <alignment horizontal="center" readingOrder="0" vertical="center"/>
    </xf>
    <xf borderId="8" fillId="26" fontId="14" numFmtId="165" xfId="0" applyAlignment="1" applyBorder="1" applyFont="1" applyNumberFormat="1">
      <alignment horizontal="center" readingOrder="0" vertical="center"/>
    </xf>
    <xf borderId="6" fillId="27" fontId="14" numFmtId="165" xfId="0" applyAlignment="1" applyBorder="1" applyFont="1" applyNumberFormat="1">
      <alignment horizontal="center" readingOrder="0" vertical="center"/>
    </xf>
    <xf borderId="7" fillId="27" fontId="14" numFmtId="165" xfId="0" applyAlignment="1" applyBorder="1" applyFont="1" applyNumberFormat="1">
      <alignment horizontal="center" readingOrder="0" vertical="center"/>
    </xf>
    <xf borderId="8" fillId="27" fontId="14" numFmtId="165" xfId="0" applyAlignment="1" applyBorder="1" applyFont="1" applyNumberFormat="1">
      <alignment horizontal="center" readingOrder="0" vertical="center"/>
    </xf>
    <xf borderId="6" fillId="24" fontId="14" numFmtId="165" xfId="0" applyAlignment="1" applyBorder="1" applyFont="1" applyNumberFormat="1">
      <alignment horizontal="center" readingOrder="0" vertical="center"/>
    </xf>
    <xf borderId="7" fillId="24" fontId="14" numFmtId="165" xfId="0" applyAlignment="1" applyBorder="1" applyFont="1" applyNumberFormat="1">
      <alignment horizontal="center" readingOrder="0" vertical="center"/>
    </xf>
    <xf borderId="8" fillId="24" fontId="14" numFmtId="165" xfId="0" applyAlignment="1" applyBorder="1" applyFont="1" applyNumberFormat="1">
      <alignment horizontal="center" readingOrder="0" vertical="center"/>
    </xf>
    <xf borderId="7" fillId="28" fontId="14" numFmtId="165" xfId="0" applyAlignment="1" applyBorder="1" applyFont="1" applyNumberFormat="1">
      <alignment horizontal="center" readingOrder="0" vertical="center"/>
    </xf>
    <xf borderId="8" fillId="28" fontId="14" numFmtId="165" xfId="0" applyAlignment="1" applyBorder="1" applyFont="1" applyNumberFormat="1">
      <alignment horizontal="center" readingOrder="0" vertical="center"/>
    </xf>
    <xf borderId="19" fillId="4" fontId="15" numFmtId="0" xfId="0" applyAlignment="1" applyBorder="1" applyFont="1">
      <alignment horizontal="center" readingOrder="0" vertical="center"/>
    </xf>
    <xf borderId="20" fillId="0" fontId="4" numFmtId="0" xfId="0" applyBorder="1" applyFont="1"/>
    <xf borderId="21" fillId="0" fontId="4" numFmtId="0" xfId="0" applyBorder="1" applyFont="1"/>
    <xf borderId="19" fillId="0" fontId="15" numFmtId="0" xfId="0" applyAlignment="1" applyBorder="1" applyFont="1">
      <alignment horizontal="center" readingOrder="0" vertical="center"/>
    </xf>
    <xf borderId="22" fillId="0" fontId="16" numFmtId="0" xfId="0" applyAlignment="1" applyBorder="1" applyFont="1">
      <alignment horizontal="center" readingOrder="0" vertical="center"/>
    </xf>
    <xf borderId="23" fillId="0" fontId="16" numFmtId="0" xfId="0" applyAlignment="1" applyBorder="1" applyFont="1">
      <alignment horizontal="center" readingOrder="0" vertical="center"/>
    </xf>
    <xf borderId="24" fillId="0" fontId="16" numFmtId="0" xfId="0" applyAlignment="1" applyBorder="1" applyFont="1">
      <alignment horizontal="center" readingOrder="0" vertical="center"/>
    </xf>
    <xf borderId="25" fillId="0" fontId="16" numFmtId="0" xfId="0" applyAlignment="1" applyBorder="1" applyFont="1">
      <alignment horizontal="center" readingOrder="0" vertical="center"/>
    </xf>
    <xf borderId="22" fillId="4" fontId="1" numFmtId="0" xfId="0" applyAlignment="1" applyBorder="1" applyFont="1">
      <alignment horizontal="center" vertical="center"/>
    </xf>
    <xf borderId="23" fillId="4" fontId="1" numFmtId="0" xfId="0" applyAlignment="1" applyBorder="1" applyFont="1">
      <alignment horizontal="center" vertical="center"/>
    </xf>
    <xf borderId="23" fillId="4" fontId="1" numFmtId="9" xfId="0" applyAlignment="1" applyBorder="1" applyFont="1" applyNumberFormat="1">
      <alignment horizontal="center" vertical="center"/>
    </xf>
    <xf borderId="26" fillId="4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7" numFmtId="0" xfId="0" applyAlignment="1" applyFont="1">
      <alignment horizontal="center" vertical="center"/>
    </xf>
    <xf borderId="16" fillId="4" fontId="15" numFmtId="0" xfId="0" applyAlignment="1" applyBorder="1" applyFont="1">
      <alignment horizontal="center" readingOrder="0" vertical="center"/>
    </xf>
    <xf borderId="16" fillId="0" fontId="15" numFmtId="0" xfId="0" applyAlignment="1" applyBorder="1" applyFont="1">
      <alignment horizontal="center" readingOrder="0" vertical="center"/>
    </xf>
    <xf borderId="27" fillId="0" fontId="16" numFmtId="0" xfId="0" applyAlignment="1" applyBorder="1" applyFont="1">
      <alignment horizontal="center" readingOrder="0" vertical="center"/>
    </xf>
    <xf borderId="28" fillId="0" fontId="16" numFmtId="0" xfId="0" applyAlignment="1" applyBorder="1" applyFont="1">
      <alignment horizontal="center" readingOrder="0" vertical="center"/>
    </xf>
    <xf borderId="29" fillId="0" fontId="16" numFmtId="0" xfId="0" applyAlignment="1" applyBorder="1" applyFont="1">
      <alignment horizontal="center" readingOrder="0" vertical="center"/>
    </xf>
    <xf borderId="30" fillId="0" fontId="16" numFmtId="0" xfId="0" applyAlignment="1" applyBorder="1" applyFont="1">
      <alignment horizontal="center" readingOrder="0" vertical="center"/>
    </xf>
    <xf borderId="27" fillId="4" fontId="1" numFmtId="0" xfId="0" applyAlignment="1" applyBorder="1" applyFont="1">
      <alignment horizontal="center" vertical="center"/>
    </xf>
    <xf borderId="28" fillId="4" fontId="1" numFmtId="0" xfId="0" applyAlignment="1" applyBorder="1" applyFont="1">
      <alignment horizontal="center" vertical="center"/>
    </xf>
    <xf borderId="28" fillId="4" fontId="1" numFmtId="9" xfId="0" applyAlignment="1" applyBorder="1" applyFont="1" applyNumberFormat="1">
      <alignment horizontal="center" vertical="center"/>
    </xf>
    <xf borderId="31" fillId="4" fontId="1" numFmtId="0" xfId="0" applyAlignment="1" applyBorder="1" applyFont="1">
      <alignment horizontal="center" vertical="center"/>
    </xf>
    <xf borderId="32" fillId="0" fontId="4" numFmtId="0" xfId="0" applyBorder="1" applyFont="1"/>
    <xf borderId="33" fillId="0" fontId="4" numFmtId="0" xfId="0" applyBorder="1" applyFont="1"/>
    <xf borderId="28" fillId="0" fontId="16" numFmtId="0" xfId="0" applyAlignment="1" applyBorder="1" applyFont="1">
      <alignment horizontal="center" vertical="center"/>
    </xf>
    <xf borderId="29" fillId="0" fontId="16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vertical="center"/>
    </xf>
    <xf borderId="30" fillId="0" fontId="16" numFmtId="0" xfId="0" applyAlignment="1" applyBorder="1" applyFont="1">
      <alignment horizontal="center" vertical="center"/>
    </xf>
    <xf borderId="6" fillId="4" fontId="15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34" fillId="0" fontId="16" numFmtId="0" xfId="0" applyAlignment="1" applyBorder="1" applyFont="1">
      <alignment horizontal="center" vertical="center"/>
    </xf>
    <xf borderId="35" fillId="0" fontId="16" numFmtId="0" xfId="0" applyAlignment="1" applyBorder="1" applyFont="1">
      <alignment horizontal="center" vertical="center"/>
    </xf>
    <xf borderId="36" fillId="0" fontId="16" numFmtId="0" xfId="0" applyAlignment="1" applyBorder="1" applyFont="1">
      <alignment horizontal="center" vertical="center"/>
    </xf>
    <xf borderId="37" fillId="0" fontId="16" numFmtId="0" xfId="0" applyAlignment="1" applyBorder="1" applyFont="1">
      <alignment horizontal="center" vertical="center"/>
    </xf>
    <xf borderId="36" fillId="0" fontId="16" numFmtId="0" xfId="0" applyAlignment="1" applyBorder="1" applyFont="1">
      <alignment horizontal="center" readingOrder="0" vertical="center"/>
    </xf>
    <xf borderId="34" fillId="4" fontId="1" numFmtId="0" xfId="0" applyAlignment="1" applyBorder="1" applyFont="1">
      <alignment horizontal="center" vertical="center"/>
    </xf>
    <xf borderId="35" fillId="4" fontId="1" numFmtId="0" xfId="0" applyAlignment="1" applyBorder="1" applyFont="1">
      <alignment horizontal="center" vertical="center"/>
    </xf>
    <xf borderId="35" fillId="4" fontId="1" numFmtId="9" xfId="0" applyAlignment="1" applyBorder="1" applyFont="1" applyNumberFormat="1">
      <alignment horizontal="center" vertical="center"/>
    </xf>
    <xf borderId="38" fillId="4" fontId="1" numFmtId="0" xfId="0" applyAlignment="1" applyBorder="1" applyFont="1">
      <alignment horizontal="center" vertical="center"/>
    </xf>
    <xf borderId="39" fillId="0" fontId="4" numFmtId="0" xfId="0" applyBorder="1" applyFont="1"/>
    <xf borderId="40" fillId="0" fontId="4" numFmtId="0" xfId="0" applyBorder="1" applyFont="1"/>
    <xf borderId="0" fillId="0" fontId="18" numFmtId="0" xfId="0" applyAlignment="1" applyFont="1">
      <alignment readingOrder="0"/>
    </xf>
    <xf borderId="0" fillId="0" fontId="19" numFmtId="0" xfId="0" applyFont="1"/>
    <xf borderId="0" fillId="0" fontId="19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Font="1"/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spPr>
            <a:solidFill>
              <a:srgbClr val="7AA7D1">
                <a:alpha val="30000"/>
              </a:srgbClr>
            </a:solidFill>
            <a:ln cmpd="sng">
              <a:solidFill>
                <a:srgbClr val="7AA7D1">
                  <a:alpha val="100000"/>
                </a:srgbClr>
              </a:solidFill>
            </a:ln>
          </c:spPr>
          <c:val>
            <c:numRef>
              <c:f>'January 2026'!$K$12:$AO$12</c:f>
              <c:numCache/>
            </c:numRef>
          </c:val>
        </c:ser>
        <c:axId val="1130755391"/>
        <c:axId val="107688386"/>
      </c:areaChart>
      <c:catAx>
        <c:axId val="1130755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107688386"/>
      </c:catAx>
      <c:valAx>
        <c:axId val="1076883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A3A3A"/>
                    </a:solidFill>
                    <a:latin typeface="+mn-lt"/>
                  </a:defRPr>
                </a:pPr>
                <a:r>
                  <a:rPr b="0">
                    <a:solidFill>
                      <a:srgbClr val="3A3A3A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3A3A3A"/>
                </a:solidFill>
                <a:latin typeface="+mn-lt"/>
              </a:defRPr>
            </a:pPr>
          </a:p>
        </c:txPr>
        <c:crossAx val="1130755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7AA7D1"/>
              </a:solidFill>
            </c:spPr>
          </c:dPt>
          <c:dPt>
            <c:idx val="1"/>
            <c:spPr>
              <a:solidFill>
                <a:srgbClr val="EFEFE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'January 2026'!$BG$2:$BG$3</c:f>
            </c:strRef>
          </c:cat>
          <c:val>
            <c:numRef>
              <c:f>'January 2026'!$BH$2:$BH$3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4E4E4E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1</xdr:row>
      <xdr:rowOff>47625</xdr:rowOff>
    </xdr:from>
    <xdr:ext cx="9439275" cy="1933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43</xdr:col>
      <xdr:colOff>19050</xdr:colOff>
      <xdr:row>3</xdr:row>
      <xdr:rowOff>9525</xdr:rowOff>
    </xdr:from>
    <xdr:ext cx="2771775" cy="1533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A3A3A"/>
      </a:dk1>
      <a:lt1>
        <a:srgbClr val="F5F7FA"/>
      </a:lt1>
      <a:dk2>
        <a:srgbClr val="3A3A3A"/>
      </a:dk2>
      <a:lt2>
        <a:srgbClr val="F5F7FA"/>
      </a:lt2>
      <a:accent1>
        <a:srgbClr val="DDEBF7"/>
      </a:accent1>
      <a:accent2>
        <a:srgbClr val="E4F7E7"/>
      </a:accent2>
      <a:accent3>
        <a:srgbClr val="FFF9D6"/>
      </a:accent3>
      <a:accent4>
        <a:srgbClr val="FDE7E9"/>
      </a:accent4>
      <a:accent5>
        <a:srgbClr val="F3EDFF"/>
      </a:accent5>
      <a:accent6>
        <a:srgbClr val="FFEDE1"/>
      </a:accent6>
      <a:hlink>
        <a:srgbClr val="7CB5FF"/>
      </a:hlink>
      <a:folHlink>
        <a:srgbClr val="7CB5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25"/>
    <col customWidth="1" min="2" max="7" width="4.13"/>
    <col customWidth="1" min="8" max="8" width="8.88"/>
    <col customWidth="1" min="9" max="101" width="4.13"/>
  </cols>
  <sheetData>
    <row r="1" ht="15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3"/>
      <c r="BB1" s="4"/>
      <c r="BC1" s="5" t="s">
        <v>1</v>
      </c>
      <c r="BD1" s="4">
        <v>1.0</v>
      </c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ht="15.75" customHeight="1">
      <c r="A2" s="1"/>
      <c r="B2" s="6" t="s">
        <v>2</v>
      </c>
      <c r="C2" s="7"/>
      <c r="D2" s="7"/>
      <c r="E2" s="7"/>
      <c r="F2" s="7"/>
      <c r="G2" s="7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9" t="s">
        <v>3</v>
      </c>
      <c r="AS2" s="7"/>
      <c r="AT2" s="7"/>
      <c r="AU2" s="7"/>
      <c r="AV2" s="7"/>
      <c r="AW2" s="7"/>
      <c r="AX2" s="7"/>
      <c r="AY2" s="7"/>
      <c r="AZ2" s="8"/>
      <c r="BA2" s="3"/>
      <c r="BB2" s="4"/>
      <c r="BC2" s="5" t="s">
        <v>4</v>
      </c>
      <c r="BD2" s="4">
        <v>2.0</v>
      </c>
      <c r="BE2" s="3"/>
      <c r="BF2" s="3"/>
      <c r="BG2" s="10" t="s">
        <v>5</v>
      </c>
      <c r="BH2" s="3">
        <f>SUM(AR35:AR57)</f>
        <v>0</v>
      </c>
      <c r="BI2" s="3"/>
      <c r="BJ2" s="3"/>
      <c r="BK2" s="3"/>
      <c r="BL2" s="3"/>
      <c r="BM2" s="3"/>
      <c r="BN2" s="3"/>
      <c r="BO2" s="3"/>
      <c r="BP2" s="3"/>
      <c r="BQ2" s="3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</row>
    <row r="3" ht="15.75" customHeight="1">
      <c r="A3" s="1"/>
      <c r="B3" s="11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3"/>
      <c r="AS3" s="14"/>
      <c r="AT3" s="14"/>
      <c r="AU3" s="14"/>
      <c r="AV3" s="14"/>
      <c r="AW3" s="14"/>
      <c r="AX3" s="14"/>
      <c r="AY3" s="14"/>
      <c r="AZ3" s="15"/>
      <c r="BA3" s="3"/>
      <c r="BB3" s="4"/>
      <c r="BC3" s="5" t="s">
        <v>6</v>
      </c>
      <c r="BD3" s="4">
        <v>3.0</v>
      </c>
      <c r="BE3" s="3"/>
      <c r="BF3" s="3"/>
      <c r="BG3" s="10" t="s">
        <v>7</v>
      </c>
      <c r="BH3" s="3">
        <f>SUM(AS35:AS57)</f>
        <v>285</v>
      </c>
      <c r="BI3" s="3"/>
      <c r="BJ3" s="3"/>
      <c r="BK3" s="3"/>
      <c r="BL3" s="3"/>
      <c r="BM3" s="3"/>
      <c r="BN3" s="3"/>
      <c r="BO3" s="3"/>
      <c r="BP3" s="3"/>
      <c r="BQ3" s="3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</row>
    <row r="4" ht="15.75" customHeight="1">
      <c r="A4" s="1"/>
      <c r="B4" s="13"/>
      <c r="C4" s="14"/>
      <c r="D4" s="14"/>
      <c r="E4" s="14"/>
      <c r="F4" s="14"/>
      <c r="G4" s="14"/>
      <c r="H4" s="15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6"/>
      <c r="AZ4" s="12"/>
      <c r="BA4" s="3"/>
      <c r="BB4" s="4"/>
      <c r="BC4" s="5" t="s">
        <v>8</v>
      </c>
      <c r="BD4" s="4">
        <v>4.0</v>
      </c>
      <c r="BE4" s="3"/>
      <c r="BF4" s="3"/>
      <c r="BG4" s="10" t="s">
        <v>9</v>
      </c>
      <c r="BH4" s="3">
        <f>SUM(I35:J57)</f>
        <v>285</v>
      </c>
      <c r="BI4" s="3"/>
      <c r="BJ4" s="3"/>
      <c r="BK4" s="3"/>
      <c r="BL4" s="3"/>
      <c r="BM4" s="3"/>
      <c r="BN4" s="3"/>
      <c r="BO4" s="3"/>
      <c r="BP4" s="3"/>
      <c r="BQ4" s="3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</row>
    <row r="5" ht="15.75" customHeight="1">
      <c r="A5" s="1"/>
      <c r="B5" s="17" t="str">
        <f>CONCATENATE("- ",E11," -")</f>
        <v>- January -</v>
      </c>
      <c r="C5" s="7"/>
      <c r="D5" s="7"/>
      <c r="E5" s="7"/>
      <c r="F5" s="7"/>
      <c r="G5" s="7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1"/>
      <c r="AZ5" s="12"/>
      <c r="BA5" s="3"/>
      <c r="BB5" s="4"/>
      <c r="BC5" s="5" t="s">
        <v>10</v>
      </c>
      <c r="BD5" s="4">
        <v>5.0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</row>
    <row r="6" ht="15.75" customHeight="1">
      <c r="A6" s="1"/>
      <c r="B6" s="13"/>
      <c r="C6" s="14"/>
      <c r="D6" s="14"/>
      <c r="E6" s="14"/>
      <c r="F6" s="14"/>
      <c r="G6" s="14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1"/>
      <c r="AZ6" s="12"/>
      <c r="BA6" s="3"/>
      <c r="BB6" s="4"/>
      <c r="BC6" s="5" t="s">
        <v>11</v>
      </c>
      <c r="BD6" s="4">
        <v>6.0</v>
      </c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1"/>
      <c r="AZ7" s="12"/>
      <c r="BA7" s="3"/>
      <c r="BB7" s="4"/>
      <c r="BC7" s="5" t="s">
        <v>12</v>
      </c>
      <c r="BD7" s="4">
        <v>7.0</v>
      </c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1"/>
      <c r="AZ8" s="12"/>
      <c r="BA8" s="3"/>
      <c r="BB8" s="4"/>
      <c r="BC8" s="5" t="s">
        <v>13</v>
      </c>
      <c r="BD8" s="4">
        <v>8.0</v>
      </c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</row>
    <row r="9" ht="15.75" customHeight="1">
      <c r="A9" s="1"/>
      <c r="B9" s="18" t="s">
        <v>14</v>
      </c>
      <c r="C9" s="19"/>
      <c r="D9" s="19"/>
      <c r="E9" s="19"/>
      <c r="F9" s="19"/>
      <c r="G9" s="19"/>
      <c r="H9" s="20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1"/>
      <c r="AZ9" s="12"/>
      <c r="BA9" s="3"/>
      <c r="BB9" s="4"/>
      <c r="BC9" s="5" t="s">
        <v>15</v>
      </c>
      <c r="BD9" s="4">
        <v>9.0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</row>
    <row r="10" ht="15.75" customHeight="1">
      <c r="A10" s="1"/>
      <c r="B10" s="21" t="s">
        <v>16</v>
      </c>
      <c r="C10" s="19"/>
      <c r="D10" s="20"/>
      <c r="E10" s="22">
        <v>2026.0</v>
      </c>
      <c r="F10" s="19"/>
      <c r="G10" s="19"/>
      <c r="H10" s="20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1"/>
      <c r="AZ10" s="12"/>
      <c r="BA10" s="3"/>
      <c r="BB10" s="4"/>
      <c r="BC10" s="5" t="s">
        <v>17</v>
      </c>
      <c r="BD10" s="4">
        <v>10.0</v>
      </c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</row>
    <row r="11" ht="15.75" customHeight="1">
      <c r="A11" s="1"/>
      <c r="B11" s="21" t="s">
        <v>18</v>
      </c>
      <c r="C11" s="19"/>
      <c r="D11" s="20"/>
      <c r="E11" s="22" t="s">
        <v>1</v>
      </c>
      <c r="F11" s="19"/>
      <c r="G11" s="19"/>
      <c r="H11" s="20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3"/>
      <c r="AS11" s="14"/>
      <c r="AT11" s="14"/>
      <c r="AU11" s="14"/>
      <c r="AV11" s="14"/>
      <c r="AW11" s="14"/>
      <c r="AX11" s="14"/>
      <c r="AY11" s="14"/>
      <c r="AZ11" s="15"/>
      <c r="BA11" s="3"/>
      <c r="BB11" s="4"/>
      <c r="BC11" s="5" t="s">
        <v>19</v>
      </c>
      <c r="BD11" s="4">
        <v>11.0</v>
      </c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23"/>
      <c r="K12" s="24">
        <f t="shared" ref="K12:AO12" si="1">IFERROR(K23/K24,0)</f>
        <v>0</v>
      </c>
      <c r="L12" s="24">
        <f t="shared" si="1"/>
        <v>0</v>
      </c>
      <c r="M12" s="24">
        <f t="shared" si="1"/>
        <v>0</v>
      </c>
      <c r="N12" s="24">
        <f t="shared" si="1"/>
        <v>0</v>
      </c>
      <c r="O12" s="24">
        <f t="shared" si="1"/>
        <v>0</v>
      </c>
      <c r="P12" s="24">
        <f t="shared" si="1"/>
        <v>0</v>
      </c>
      <c r="Q12" s="24">
        <f t="shared" si="1"/>
        <v>0</v>
      </c>
      <c r="R12" s="24">
        <f t="shared" si="1"/>
        <v>0</v>
      </c>
      <c r="S12" s="24">
        <f t="shared" si="1"/>
        <v>0</v>
      </c>
      <c r="T12" s="24">
        <f t="shared" si="1"/>
        <v>0</v>
      </c>
      <c r="U12" s="24">
        <f t="shared" si="1"/>
        <v>0</v>
      </c>
      <c r="V12" s="24">
        <f t="shared" si="1"/>
        <v>0</v>
      </c>
      <c r="W12" s="24">
        <f t="shared" si="1"/>
        <v>0</v>
      </c>
      <c r="X12" s="24">
        <f t="shared" si="1"/>
        <v>0</v>
      </c>
      <c r="Y12" s="24">
        <f t="shared" si="1"/>
        <v>0</v>
      </c>
      <c r="Z12" s="24">
        <f t="shared" si="1"/>
        <v>0</v>
      </c>
      <c r="AA12" s="24">
        <f t="shared" si="1"/>
        <v>0</v>
      </c>
      <c r="AB12" s="24">
        <f t="shared" si="1"/>
        <v>0</v>
      </c>
      <c r="AC12" s="24">
        <f t="shared" si="1"/>
        <v>0</v>
      </c>
      <c r="AD12" s="24">
        <f t="shared" si="1"/>
        <v>0</v>
      </c>
      <c r="AE12" s="24">
        <f t="shared" si="1"/>
        <v>0</v>
      </c>
      <c r="AF12" s="24">
        <f t="shared" si="1"/>
        <v>0</v>
      </c>
      <c r="AG12" s="24">
        <f t="shared" si="1"/>
        <v>0</v>
      </c>
      <c r="AH12" s="24">
        <f t="shared" si="1"/>
        <v>0</v>
      </c>
      <c r="AI12" s="24">
        <f t="shared" si="1"/>
        <v>0</v>
      </c>
      <c r="AJ12" s="24">
        <f t="shared" si="1"/>
        <v>0</v>
      </c>
      <c r="AK12" s="24">
        <f t="shared" si="1"/>
        <v>0</v>
      </c>
      <c r="AL12" s="24">
        <f t="shared" si="1"/>
        <v>0</v>
      </c>
      <c r="AM12" s="24">
        <f t="shared" si="1"/>
        <v>0</v>
      </c>
      <c r="AN12" s="24">
        <f t="shared" si="1"/>
        <v>0</v>
      </c>
      <c r="AO12" s="24">
        <f t="shared" si="1"/>
        <v>0</v>
      </c>
      <c r="AP12" s="3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3"/>
      <c r="BB12" s="4"/>
      <c r="BC12" s="5" t="s">
        <v>20</v>
      </c>
      <c r="BD12" s="4">
        <v>12.0</v>
      </c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</row>
    <row r="13" ht="15.75" customHeight="1">
      <c r="A13" s="1"/>
      <c r="B13" s="25" t="s">
        <v>21</v>
      </c>
      <c r="C13" s="7"/>
      <c r="D13" s="7"/>
      <c r="E13" s="7"/>
      <c r="F13" s="7"/>
      <c r="G13" s="7"/>
      <c r="H13" s="7"/>
      <c r="I13" s="7"/>
      <c r="J13" s="7"/>
      <c r="K13" s="26" t="s">
        <v>22</v>
      </c>
      <c r="L13" s="7"/>
      <c r="M13" s="7"/>
      <c r="N13" s="7"/>
      <c r="O13" s="7"/>
      <c r="P13" s="7"/>
      <c r="Q13" s="8"/>
      <c r="R13" s="27" t="s">
        <v>23</v>
      </c>
      <c r="S13" s="7"/>
      <c r="T13" s="7"/>
      <c r="U13" s="7"/>
      <c r="V13" s="7"/>
      <c r="W13" s="7"/>
      <c r="X13" s="8"/>
      <c r="Y13" s="28" t="s">
        <v>24</v>
      </c>
      <c r="Z13" s="7"/>
      <c r="AA13" s="7"/>
      <c r="AB13" s="7"/>
      <c r="AC13" s="7"/>
      <c r="AD13" s="7"/>
      <c r="AE13" s="8"/>
      <c r="AF13" s="29" t="s">
        <v>25</v>
      </c>
      <c r="AG13" s="7"/>
      <c r="AH13" s="7"/>
      <c r="AI13" s="7"/>
      <c r="AJ13" s="7"/>
      <c r="AK13" s="7"/>
      <c r="AL13" s="8"/>
      <c r="AM13" s="30" t="s">
        <v>26</v>
      </c>
      <c r="AN13" s="7"/>
      <c r="AO13" s="8"/>
      <c r="AP13" s="1"/>
      <c r="AQ13" s="1"/>
      <c r="AR13" s="31" t="s">
        <v>27</v>
      </c>
      <c r="AS13" s="7"/>
      <c r="AT13" s="7"/>
      <c r="AU13" s="7"/>
      <c r="AV13" s="7"/>
      <c r="AW13" s="7"/>
      <c r="AX13" s="7"/>
      <c r="AY13" s="7"/>
      <c r="AZ13" s="8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</row>
    <row r="14" ht="15.75" customHeight="1">
      <c r="A14" s="1"/>
      <c r="B14" s="11"/>
      <c r="K14" s="32"/>
      <c r="L14" s="33"/>
      <c r="M14" s="33"/>
      <c r="N14" s="33"/>
      <c r="O14" s="33"/>
      <c r="P14" s="33"/>
      <c r="Q14" s="34"/>
      <c r="R14" s="32"/>
      <c r="S14" s="33"/>
      <c r="T14" s="33"/>
      <c r="U14" s="33"/>
      <c r="V14" s="33"/>
      <c r="W14" s="33"/>
      <c r="X14" s="34"/>
      <c r="Y14" s="32"/>
      <c r="Z14" s="33"/>
      <c r="AA14" s="33"/>
      <c r="AB14" s="33"/>
      <c r="AC14" s="33"/>
      <c r="AD14" s="33"/>
      <c r="AE14" s="34"/>
      <c r="AF14" s="32"/>
      <c r="AG14" s="33"/>
      <c r="AH14" s="33"/>
      <c r="AI14" s="33"/>
      <c r="AJ14" s="33"/>
      <c r="AK14" s="33"/>
      <c r="AL14" s="34"/>
      <c r="AM14" s="33"/>
      <c r="AN14" s="33"/>
      <c r="AO14" s="34"/>
      <c r="AP14" s="1"/>
      <c r="AQ14" s="1"/>
      <c r="AR14" s="11"/>
      <c r="AZ14" s="12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</row>
    <row r="15" ht="15.75" customHeight="1">
      <c r="A15" s="1"/>
      <c r="B15" s="11"/>
      <c r="K15" s="35">
        <f t="shared" ref="K15:AO15" si="2">K16</f>
        <v>46023</v>
      </c>
      <c r="L15" s="36">
        <f t="shared" si="2"/>
        <v>46024</v>
      </c>
      <c r="M15" s="36">
        <f t="shared" si="2"/>
        <v>46025</v>
      </c>
      <c r="N15" s="36">
        <f t="shared" si="2"/>
        <v>46026</v>
      </c>
      <c r="O15" s="36">
        <f t="shared" si="2"/>
        <v>46027</v>
      </c>
      <c r="P15" s="36">
        <f t="shared" si="2"/>
        <v>46028</v>
      </c>
      <c r="Q15" s="37">
        <f t="shared" si="2"/>
        <v>46029</v>
      </c>
      <c r="R15" s="38">
        <f t="shared" si="2"/>
        <v>46030</v>
      </c>
      <c r="S15" s="39">
        <f t="shared" si="2"/>
        <v>46031</v>
      </c>
      <c r="T15" s="39">
        <f t="shared" si="2"/>
        <v>46032</v>
      </c>
      <c r="U15" s="39">
        <f t="shared" si="2"/>
        <v>46033</v>
      </c>
      <c r="V15" s="39">
        <f t="shared" si="2"/>
        <v>46034</v>
      </c>
      <c r="W15" s="39">
        <f t="shared" si="2"/>
        <v>46035</v>
      </c>
      <c r="X15" s="40">
        <f t="shared" si="2"/>
        <v>46036</v>
      </c>
      <c r="Y15" s="41">
        <f t="shared" si="2"/>
        <v>46037</v>
      </c>
      <c r="Z15" s="42">
        <f t="shared" si="2"/>
        <v>46038</v>
      </c>
      <c r="AA15" s="42">
        <f t="shared" si="2"/>
        <v>46039</v>
      </c>
      <c r="AB15" s="42">
        <f t="shared" si="2"/>
        <v>46040</v>
      </c>
      <c r="AC15" s="42">
        <f t="shared" si="2"/>
        <v>46041</v>
      </c>
      <c r="AD15" s="42">
        <f t="shared" si="2"/>
        <v>46042</v>
      </c>
      <c r="AE15" s="43">
        <f t="shared" si="2"/>
        <v>46043</v>
      </c>
      <c r="AF15" s="44">
        <f t="shared" si="2"/>
        <v>46044</v>
      </c>
      <c r="AG15" s="45">
        <f t="shared" si="2"/>
        <v>46045</v>
      </c>
      <c r="AH15" s="45">
        <f t="shared" si="2"/>
        <v>46046</v>
      </c>
      <c r="AI15" s="45">
        <f t="shared" si="2"/>
        <v>46047</v>
      </c>
      <c r="AJ15" s="45">
        <f t="shared" si="2"/>
        <v>46048</v>
      </c>
      <c r="AK15" s="45">
        <f t="shared" si="2"/>
        <v>46049</v>
      </c>
      <c r="AL15" s="46">
        <f t="shared" si="2"/>
        <v>46050</v>
      </c>
      <c r="AM15" s="47">
        <f t="shared" si="2"/>
        <v>29</v>
      </c>
      <c r="AN15" s="47">
        <f t="shared" si="2"/>
        <v>30</v>
      </c>
      <c r="AO15" s="48">
        <f t="shared" si="2"/>
        <v>31</v>
      </c>
      <c r="AP15" s="1"/>
      <c r="AQ15" s="1"/>
      <c r="AR15" s="11"/>
      <c r="AZ15" s="12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</row>
    <row r="16" ht="15.75" customHeight="1">
      <c r="A16" s="1"/>
      <c r="B16" s="13"/>
      <c r="C16" s="14"/>
      <c r="D16" s="14"/>
      <c r="E16" s="14"/>
      <c r="F16" s="14"/>
      <c r="G16" s="14"/>
      <c r="H16" s="14"/>
      <c r="I16" s="14"/>
      <c r="J16" s="14"/>
      <c r="K16" s="49">
        <f>K34</f>
        <v>46023</v>
      </c>
      <c r="L16" s="50">
        <f t="shared" ref="L16:AL16" si="3">IF(MONTH(K16+1)=MONTH($K$34),K16+1,"")</f>
        <v>46024</v>
      </c>
      <c r="M16" s="50">
        <f t="shared" si="3"/>
        <v>46025</v>
      </c>
      <c r="N16" s="50">
        <f t="shared" si="3"/>
        <v>46026</v>
      </c>
      <c r="O16" s="50">
        <f t="shared" si="3"/>
        <v>46027</v>
      </c>
      <c r="P16" s="50">
        <f t="shared" si="3"/>
        <v>46028</v>
      </c>
      <c r="Q16" s="51">
        <f t="shared" si="3"/>
        <v>46029</v>
      </c>
      <c r="R16" s="52">
        <f t="shared" si="3"/>
        <v>46030</v>
      </c>
      <c r="S16" s="53">
        <f t="shared" si="3"/>
        <v>46031</v>
      </c>
      <c r="T16" s="53">
        <f t="shared" si="3"/>
        <v>46032</v>
      </c>
      <c r="U16" s="53">
        <f t="shared" si="3"/>
        <v>46033</v>
      </c>
      <c r="V16" s="53">
        <f t="shared" si="3"/>
        <v>46034</v>
      </c>
      <c r="W16" s="53">
        <f t="shared" si="3"/>
        <v>46035</v>
      </c>
      <c r="X16" s="54">
        <f t="shared" si="3"/>
        <v>46036</v>
      </c>
      <c r="Y16" s="55">
        <f t="shared" si="3"/>
        <v>46037</v>
      </c>
      <c r="Z16" s="56">
        <f t="shared" si="3"/>
        <v>46038</v>
      </c>
      <c r="AA16" s="56">
        <f t="shared" si="3"/>
        <v>46039</v>
      </c>
      <c r="AB16" s="56">
        <f t="shared" si="3"/>
        <v>46040</v>
      </c>
      <c r="AC16" s="56">
        <f t="shared" si="3"/>
        <v>46041</v>
      </c>
      <c r="AD16" s="56">
        <f t="shared" si="3"/>
        <v>46042</v>
      </c>
      <c r="AE16" s="57">
        <f t="shared" si="3"/>
        <v>46043</v>
      </c>
      <c r="AF16" s="58">
        <f t="shared" si="3"/>
        <v>46044</v>
      </c>
      <c r="AG16" s="59">
        <f t="shared" si="3"/>
        <v>46045</v>
      </c>
      <c r="AH16" s="59">
        <f t="shared" si="3"/>
        <v>46046</v>
      </c>
      <c r="AI16" s="59">
        <f t="shared" si="3"/>
        <v>46047</v>
      </c>
      <c r="AJ16" s="59">
        <f t="shared" si="3"/>
        <v>46048</v>
      </c>
      <c r="AK16" s="59">
        <f t="shared" si="3"/>
        <v>46049</v>
      </c>
      <c r="AL16" s="60">
        <f t="shared" si="3"/>
        <v>46050</v>
      </c>
      <c r="AM16" s="61">
        <v>29.0</v>
      </c>
      <c r="AN16" s="61">
        <v>30.0</v>
      </c>
      <c r="AO16" s="62">
        <v>31.0</v>
      </c>
      <c r="AP16" s="1"/>
      <c r="AQ16" s="1"/>
      <c r="AR16" s="13"/>
      <c r="AS16" s="14"/>
      <c r="AT16" s="14"/>
      <c r="AU16" s="14"/>
      <c r="AV16" s="14"/>
      <c r="AW16" s="14"/>
      <c r="AX16" s="14"/>
      <c r="AY16" s="14"/>
      <c r="AZ16" s="15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</row>
    <row r="17" ht="15.75" customHeight="1">
      <c r="A17" s="1"/>
      <c r="B17" s="63" t="s">
        <v>28</v>
      </c>
      <c r="C17" s="7"/>
      <c r="D17" s="7"/>
      <c r="E17" s="7"/>
      <c r="F17" s="7"/>
      <c r="G17" s="7"/>
      <c r="H17" s="7"/>
      <c r="I17" s="7"/>
      <c r="J17" s="8"/>
      <c r="K17" s="64" t="str">
        <f>IFERROR(__xludf.DUMMYFUNCTION("SPARKLINE(K23:Q23,{""charttype"",""column"";""ymin"",0;""ymax"",COUNTIF($B$35:$H$57,""*"");""color"",""#A7C7E7""})"),"")</f>
        <v/>
      </c>
      <c r="L17" s="7"/>
      <c r="M17" s="7"/>
      <c r="N17" s="7"/>
      <c r="O17" s="7"/>
      <c r="P17" s="7"/>
      <c r="Q17" s="8"/>
      <c r="R17" s="64" t="str">
        <f>IFERROR(__xludf.DUMMYFUNCTION("SPARKLINE(R23:X23,{""charttype"",""column"";""ymin"",0;""ymax"",COUNTIF($B$35:$H$57,""*"");""color"",""#a7c7e7""})"),"")</f>
        <v/>
      </c>
      <c r="S17" s="7"/>
      <c r="T17" s="7"/>
      <c r="U17" s="7"/>
      <c r="V17" s="7"/>
      <c r="W17" s="7"/>
      <c r="X17" s="8"/>
      <c r="Y17" s="64" t="str">
        <f>IFERROR(__xludf.DUMMYFUNCTION("SPARKLINE(Y23:AE23,{""charttype"",""column"";""ymin"",0;""ymax"",COUNTIF($B$35:$H$57,""*"");""color"",""#a7c7e7""})"),"")</f>
        <v/>
      </c>
      <c r="Z17" s="7"/>
      <c r="AA17" s="7"/>
      <c r="AB17" s="7"/>
      <c r="AC17" s="7"/>
      <c r="AD17" s="7"/>
      <c r="AE17" s="8"/>
      <c r="AF17" s="64" t="str">
        <f>IFERROR(__xludf.DUMMYFUNCTION("SPARKLINE(AF23:AL23,{""charttype"",""column"";""ymin"",0;""ymax"",COUNTIF($B$35:$H$57,""*"");""color"",""#a7c7e7""})"),"")</f>
        <v/>
      </c>
      <c r="AG17" s="7"/>
      <c r="AH17" s="7"/>
      <c r="AI17" s="7"/>
      <c r="AJ17" s="7"/>
      <c r="AK17" s="7"/>
      <c r="AL17" s="8"/>
      <c r="AM17" s="65" t="str">
        <f>IFERROR(__xludf.DUMMYFUNCTION("SPARKLINE(AM29:AO29,{""charttype"",""column"";""ymin"",0;""ymax"",COUNTIF($B$35:$H$57,""*"");""color"",""#a7c7e7""})"),"")</f>
        <v/>
      </c>
      <c r="AO17" s="12"/>
      <c r="AP17" s="1"/>
      <c r="AQ17" s="2"/>
      <c r="AR17" s="66"/>
      <c r="AS17" s="19"/>
      <c r="AT17" s="19"/>
      <c r="AU17" s="19"/>
      <c r="AV17" s="19"/>
      <c r="AW17" s="19"/>
      <c r="AX17" s="19"/>
      <c r="AY17" s="19"/>
      <c r="AZ17" s="20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</row>
    <row r="18" ht="15.75" customHeight="1">
      <c r="A18" s="1"/>
      <c r="B18" s="11"/>
      <c r="J18" s="12"/>
      <c r="K18" s="11"/>
      <c r="Q18" s="12"/>
      <c r="R18" s="11"/>
      <c r="X18" s="12"/>
      <c r="Y18" s="11"/>
      <c r="AE18" s="12"/>
      <c r="AF18" s="11"/>
      <c r="AL18" s="12"/>
      <c r="AO18" s="12"/>
      <c r="AP18" s="1"/>
      <c r="AQ18" s="2"/>
      <c r="AR18" s="67">
        <v>1.0</v>
      </c>
      <c r="AS18" s="22" t="str">
        <f t="shared" ref="AS18:AS27" si="4">IF(BG35="","",CONCATENATE(BG35))</f>
        <v>Wake up without snoozing</v>
      </c>
      <c r="AT18" s="19"/>
      <c r="AU18" s="19"/>
      <c r="AV18" s="19"/>
      <c r="AW18" s="19"/>
      <c r="AX18" s="19"/>
      <c r="AY18" s="19"/>
      <c r="AZ18" s="20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</row>
    <row r="19" ht="15.75" customHeight="1">
      <c r="A19" s="1"/>
      <c r="B19" s="11"/>
      <c r="J19" s="12"/>
      <c r="K19" s="11"/>
      <c r="Q19" s="12"/>
      <c r="R19" s="11"/>
      <c r="X19" s="12"/>
      <c r="Y19" s="11"/>
      <c r="AE19" s="12"/>
      <c r="AF19" s="11"/>
      <c r="AL19" s="12"/>
      <c r="AO19" s="12"/>
      <c r="AP19" s="1"/>
      <c r="AQ19" s="2"/>
      <c r="AR19" s="67">
        <v>2.0</v>
      </c>
      <c r="AS19" s="22" t="str">
        <f t="shared" si="4"/>
        <v>Social Media &lt; 60 minutes</v>
      </c>
      <c r="AT19" s="19"/>
      <c r="AU19" s="19"/>
      <c r="AV19" s="19"/>
      <c r="AW19" s="19"/>
      <c r="AX19" s="19"/>
      <c r="AY19" s="19"/>
      <c r="AZ19" s="20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</row>
    <row r="20" ht="15.75" customHeight="1">
      <c r="A20" s="1"/>
      <c r="B20" s="11"/>
      <c r="J20" s="12"/>
      <c r="K20" s="11"/>
      <c r="Q20" s="12"/>
      <c r="R20" s="11"/>
      <c r="X20" s="12"/>
      <c r="Y20" s="11"/>
      <c r="AE20" s="12"/>
      <c r="AF20" s="11"/>
      <c r="AL20" s="12"/>
      <c r="AO20" s="12"/>
      <c r="AP20" s="1"/>
      <c r="AQ20" s="2"/>
      <c r="AR20" s="67">
        <v>3.0</v>
      </c>
      <c r="AS20" s="22" t="str">
        <f t="shared" si="4"/>
        <v>Drink 2-3L of Water</v>
      </c>
      <c r="AT20" s="19"/>
      <c r="AU20" s="19"/>
      <c r="AV20" s="19"/>
      <c r="AW20" s="19"/>
      <c r="AX20" s="19"/>
      <c r="AY20" s="19"/>
      <c r="AZ20" s="20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</row>
    <row r="21" ht="15.75" customHeight="1">
      <c r="A21" s="1"/>
      <c r="B21" s="11"/>
      <c r="J21" s="12"/>
      <c r="K21" s="11"/>
      <c r="Q21" s="12"/>
      <c r="R21" s="11"/>
      <c r="X21" s="12"/>
      <c r="Y21" s="11"/>
      <c r="AE21" s="12"/>
      <c r="AF21" s="11"/>
      <c r="AL21" s="12"/>
      <c r="AO21" s="12"/>
      <c r="AP21" s="1"/>
      <c r="AQ21" s="2"/>
      <c r="AR21" s="67">
        <v>4.0</v>
      </c>
      <c r="AS21" s="22" t="str">
        <f t="shared" si="4"/>
        <v>Read (5-10 page)</v>
      </c>
      <c r="AT21" s="19"/>
      <c r="AU21" s="19"/>
      <c r="AV21" s="19"/>
      <c r="AW21" s="19"/>
      <c r="AX21" s="19"/>
      <c r="AY21" s="19"/>
      <c r="AZ21" s="20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</row>
    <row r="22" ht="15.75" customHeight="1">
      <c r="A22" s="1"/>
      <c r="B22" s="68"/>
      <c r="C22" s="69"/>
      <c r="D22" s="69"/>
      <c r="E22" s="69"/>
      <c r="F22" s="69"/>
      <c r="G22" s="69"/>
      <c r="H22" s="69"/>
      <c r="I22" s="69"/>
      <c r="J22" s="70"/>
      <c r="K22" s="68"/>
      <c r="L22" s="69"/>
      <c r="M22" s="69"/>
      <c r="N22" s="69"/>
      <c r="O22" s="69"/>
      <c r="P22" s="69"/>
      <c r="Q22" s="70"/>
      <c r="R22" s="68"/>
      <c r="S22" s="69"/>
      <c r="T22" s="69"/>
      <c r="U22" s="69"/>
      <c r="V22" s="69"/>
      <c r="W22" s="69"/>
      <c r="X22" s="70"/>
      <c r="Y22" s="68"/>
      <c r="Z22" s="69"/>
      <c r="AA22" s="69"/>
      <c r="AB22" s="69"/>
      <c r="AC22" s="69"/>
      <c r="AD22" s="69"/>
      <c r="AE22" s="70"/>
      <c r="AF22" s="68"/>
      <c r="AG22" s="69"/>
      <c r="AH22" s="69"/>
      <c r="AI22" s="69"/>
      <c r="AJ22" s="69"/>
      <c r="AK22" s="69"/>
      <c r="AL22" s="70"/>
      <c r="AM22" s="69"/>
      <c r="AN22" s="69"/>
      <c r="AO22" s="70"/>
      <c r="AP22" s="1"/>
      <c r="AQ22" s="2"/>
      <c r="AR22" s="67">
        <v>5.0</v>
      </c>
      <c r="AS22" s="22" t="str">
        <f t="shared" si="4"/>
        <v>One proactive work action</v>
      </c>
      <c r="AT22" s="19"/>
      <c r="AU22" s="19"/>
      <c r="AV22" s="19"/>
      <c r="AW22" s="19"/>
      <c r="AX22" s="19"/>
      <c r="AY22" s="19"/>
      <c r="AZ22" s="20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</row>
    <row r="23" ht="15.75" customHeight="1">
      <c r="A23" s="1"/>
      <c r="B23" s="71" t="s">
        <v>5</v>
      </c>
      <c r="C23" s="19"/>
      <c r="D23" s="19"/>
      <c r="E23" s="19"/>
      <c r="F23" s="19"/>
      <c r="G23" s="19"/>
      <c r="H23" s="19"/>
      <c r="I23" s="19"/>
      <c r="J23" s="20"/>
      <c r="K23" s="72">
        <f t="shared" ref="K23:AO23" si="5">IF(K16="","",COUNTIF(K35:K57,TRUE))</f>
        <v>0</v>
      </c>
      <c r="L23" s="72">
        <f t="shared" si="5"/>
        <v>0</v>
      </c>
      <c r="M23" s="72">
        <f t="shared" si="5"/>
        <v>0</v>
      </c>
      <c r="N23" s="72">
        <f t="shared" si="5"/>
        <v>0</v>
      </c>
      <c r="O23" s="72">
        <f t="shared" si="5"/>
        <v>0</v>
      </c>
      <c r="P23" s="72">
        <f t="shared" si="5"/>
        <v>0</v>
      </c>
      <c r="Q23" s="72">
        <f t="shared" si="5"/>
        <v>0</v>
      </c>
      <c r="R23" s="72">
        <f t="shared" si="5"/>
        <v>0</v>
      </c>
      <c r="S23" s="72">
        <f t="shared" si="5"/>
        <v>0</v>
      </c>
      <c r="T23" s="72">
        <f t="shared" si="5"/>
        <v>0</v>
      </c>
      <c r="U23" s="72">
        <f t="shared" si="5"/>
        <v>0</v>
      </c>
      <c r="V23" s="72">
        <f t="shared" si="5"/>
        <v>0</v>
      </c>
      <c r="W23" s="72">
        <f t="shared" si="5"/>
        <v>0</v>
      </c>
      <c r="X23" s="72">
        <f t="shared" si="5"/>
        <v>0</v>
      </c>
      <c r="Y23" s="72">
        <f t="shared" si="5"/>
        <v>0</v>
      </c>
      <c r="Z23" s="72">
        <f t="shared" si="5"/>
        <v>0</v>
      </c>
      <c r="AA23" s="72">
        <f t="shared" si="5"/>
        <v>0</v>
      </c>
      <c r="AB23" s="72">
        <f t="shared" si="5"/>
        <v>0</v>
      </c>
      <c r="AC23" s="72">
        <f t="shared" si="5"/>
        <v>0</v>
      </c>
      <c r="AD23" s="72">
        <f t="shared" si="5"/>
        <v>0</v>
      </c>
      <c r="AE23" s="72">
        <f t="shared" si="5"/>
        <v>0</v>
      </c>
      <c r="AF23" s="72">
        <f t="shared" si="5"/>
        <v>0</v>
      </c>
      <c r="AG23" s="72">
        <f t="shared" si="5"/>
        <v>0</v>
      </c>
      <c r="AH23" s="72">
        <f t="shared" si="5"/>
        <v>0</v>
      </c>
      <c r="AI23" s="72">
        <f t="shared" si="5"/>
        <v>0</v>
      </c>
      <c r="AJ23" s="72">
        <f t="shared" si="5"/>
        <v>0</v>
      </c>
      <c r="AK23" s="72">
        <f t="shared" si="5"/>
        <v>0</v>
      </c>
      <c r="AL23" s="72">
        <f t="shared" si="5"/>
        <v>0</v>
      </c>
      <c r="AM23" s="72">
        <f t="shared" si="5"/>
        <v>0</v>
      </c>
      <c r="AN23" s="72">
        <f t="shared" si="5"/>
        <v>0</v>
      </c>
      <c r="AO23" s="72">
        <f t="shared" si="5"/>
        <v>0</v>
      </c>
      <c r="AP23" s="1"/>
      <c r="AQ23" s="2"/>
      <c r="AR23" s="67">
        <v>6.0</v>
      </c>
      <c r="AS23" s="22" t="str">
        <f t="shared" si="4"/>
        <v>Movement/Exercise (30 minutes)</v>
      </c>
      <c r="AT23" s="19"/>
      <c r="AU23" s="19"/>
      <c r="AV23" s="19"/>
      <c r="AW23" s="19"/>
      <c r="AX23" s="19"/>
      <c r="AY23" s="19"/>
      <c r="AZ23" s="20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</row>
    <row r="24" ht="15.75" customHeight="1">
      <c r="A24" s="1"/>
      <c r="B24" s="73" t="s">
        <v>29</v>
      </c>
      <c r="C24" s="19"/>
      <c r="D24" s="19"/>
      <c r="E24" s="19"/>
      <c r="F24" s="19"/>
      <c r="G24" s="19"/>
      <c r="H24" s="19"/>
      <c r="I24" s="19"/>
      <c r="J24" s="20"/>
      <c r="K24" s="72">
        <f t="shared" ref="K24:AO24" si="6">IF(K16="","",COUNTIF($B$35:$H$57,"*"))</f>
        <v>10</v>
      </c>
      <c r="L24" s="72">
        <f t="shared" si="6"/>
        <v>10</v>
      </c>
      <c r="M24" s="72">
        <f t="shared" si="6"/>
        <v>10</v>
      </c>
      <c r="N24" s="72">
        <f t="shared" si="6"/>
        <v>10</v>
      </c>
      <c r="O24" s="72">
        <f t="shared" si="6"/>
        <v>10</v>
      </c>
      <c r="P24" s="72">
        <f t="shared" si="6"/>
        <v>10</v>
      </c>
      <c r="Q24" s="72">
        <f t="shared" si="6"/>
        <v>10</v>
      </c>
      <c r="R24" s="72">
        <f t="shared" si="6"/>
        <v>10</v>
      </c>
      <c r="S24" s="72">
        <f t="shared" si="6"/>
        <v>10</v>
      </c>
      <c r="T24" s="72">
        <f t="shared" si="6"/>
        <v>10</v>
      </c>
      <c r="U24" s="72">
        <f t="shared" si="6"/>
        <v>10</v>
      </c>
      <c r="V24" s="72">
        <f t="shared" si="6"/>
        <v>10</v>
      </c>
      <c r="W24" s="72">
        <f t="shared" si="6"/>
        <v>10</v>
      </c>
      <c r="X24" s="72">
        <f t="shared" si="6"/>
        <v>10</v>
      </c>
      <c r="Y24" s="72">
        <f t="shared" si="6"/>
        <v>10</v>
      </c>
      <c r="Z24" s="72">
        <f t="shared" si="6"/>
        <v>10</v>
      </c>
      <c r="AA24" s="72">
        <f t="shared" si="6"/>
        <v>10</v>
      </c>
      <c r="AB24" s="72">
        <f t="shared" si="6"/>
        <v>10</v>
      </c>
      <c r="AC24" s="72">
        <f t="shared" si="6"/>
        <v>10</v>
      </c>
      <c r="AD24" s="72">
        <f t="shared" si="6"/>
        <v>10</v>
      </c>
      <c r="AE24" s="72">
        <f t="shared" si="6"/>
        <v>10</v>
      </c>
      <c r="AF24" s="72">
        <f t="shared" si="6"/>
        <v>10</v>
      </c>
      <c r="AG24" s="72">
        <f t="shared" si="6"/>
        <v>10</v>
      </c>
      <c r="AH24" s="72">
        <f t="shared" si="6"/>
        <v>10</v>
      </c>
      <c r="AI24" s="72">
        <f t="shared" si="6"/>
        <v>10</v>
      </c>
      <c r="AJ24" s="72">
        <f t="shared" si="6"/>
        <v>10</v>
      </c>
      <c r="AK24" s="72">
        <f t="shared" si="6"/>
        <v>10</v>
      </c>
      <c r="AL24" s="72">
        <f t="shared" si="6"/>
        <v>10</v>
      </c>
      <c r="AM24" s="72">
        <f t="shared" si="6"/>
        <v>10</v>
      </c>
      <c r="AN24" s="72">
        <f t="shared" si="6"/>
        <v>10</v>
      </c>
      <c r="AO24" s="72">
        <f t="shared" si="6"/>
        <v>10</v>
      </c>
      <c r="AP24" s="1"/>
      <c r="AQ24" s="2"/>
      <c r="AR24" s="67">
        <v>7.0</v>
      </c>
      <c r="AS24" s="22" t="str">
        <f t="shared" si="4"/>
        <v>Sleep before 11 PM</v>
      </c>
      <c r="AT24" s="19"/>
      <c r="AU24" s="19"/>
      <c r="AV24" s="19"/>
      <c r="AW24" s="19"/>
      <c r="AX24" s="19"/>
      <c r="AY24" s="19"/>
      <c r="AZ24" s="20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</row>
    <row r="25" ht="15.75" customHeight="1">
      <c r="A25" s="1"/>
      <c r="B25" s="74" t="s">
        <v>7</v>
      </c>
      <c r="C25" s="19"/>
      <c r="D25" s="19"/>
      <c r="E25" s="19"/>
      <c r="F25" s="19"/>
      <c r="G25" s="19"/>
      <c r="H25" s="19"/>
      <c r="I25" s="19"/>
      <c r="J25" s="20"/>
      <c r="K25" s="72">
        <f t="shared" ref="K25:AO25" si="7">IF(K16="","",K24-K23)</f>
        <v>10</v>
      </c>
      <c r="L25" s="72">
        <f t="shared" si="7"/>
        <v>10</v>
      </c>
      <c r="M25" s="72">
        <f t="shared" si="7"/>
        <v>10</v>
      </c>
      <c r="N25" s="72">
        <f t="shared" si="7"/>
        <v>10</v>
      </c>
      <c r="O25" s="72">
        <f t="shared" si="7"/>
        <v>10</v>
      </c>
      <c r="P25" s="72">
        <f t="shared" si="7"/>
        <v>10</v>
      </c>
      <c r="Q25" s="72">
        <f t="shared" si="7"/>
        <v>10</v>
      </c>
      <c r="R25" s="72">
        <f t="shared" si="7"/>
        <v>10</v>
      </c>
      <c r="S25" s="72">
        <f t="shared" si="7"/>
        <v>10</v>
      </c>
      <c r="T25" s="72">
        <f t="shared" si="7"/>
        <v>10</v>
      </c>
      <c r="U25" s="72">
        <f t="shared" si="7"/>
        <v>10</v>
      </c>
      <c r="V25" s="72">
        <f t="shared" si="7"/>
        <v>10</v>
      </c>
      <c r="W25" s="72">
        <f t="shared" si="7"/>
        <v>10</v>
      </c>
      <c r="X25" s="72">
        <f t="shared" si="7"/>
        <v>10</v>
      </c>
      <c r="Y25" s="72">
        <f t="shared" si="7"/>
        <v>10</v>
      </c>
      <c r="Z25" s="72">
        <f t="shared" si="7"/>
        <v>10</v>
      </c>
      <c r="AA25" s="72">
        <f t="shared" si="7"/>
        <v>10</v>
      </c>
      <c r="AB25" s="72">
        <f t="shared" si="7"/>
        <v>10</v>
      </c>
      <c r="AC25" s="72">
        <f t="shared" si="7"/>
        <v>10</v>
      </c>
      <c r="AD25" s="72">
        <f t="shared" si="7"/>
        <v>10</v>
      </c>
      <c r="AE25" s="72">
        <f t="shared" si="7"/>
        <v>10</v>
      </c>
      <c r="AF25" s="72">
        <f t="shared" si="7"/>
        <v>10</v>
      </c>
      <c r="AG25" s="72">
        <f t="shared" si="7"/>
        <v>10</v>
      </c>
      <c r="AH25" s="72">
        <f t="shared" si="7"/>
        <v>10</v>
      </c>
      <c r="AI25" s="72">
        <f t="shared" si="7"/>
        <v>10</v>
      </c>
      <c r="AJ25" s="72">
        <f t="shared" si="7"/>
        <v>10</v>
      </c>
      <c r="AK25" s="72">
        <f t="shared" si="7"/>
        <v>10</v>
      </c>
      <c r="AL25" s="72">
        <f t="shared" si="7"/>
        <v>10</v>
      </c>
      <c r="AM25" s="72">
        <f t="shared" si="7"/>
        <v>10</v>
      </c>
      <c r="AN25" s="72">
        <f t="shared" si="7"/>
        <v>10</v>
      </c>
      <c r="AO25" s="72">
        <f t="shared" si="7"/>
        <v>10</v>
      </c>
      <c r="AP25" s="1"/>
      <c r="AQ25" s="2"/>
      <c r="AR25" s="67">
        <v>8.0</v>
      </c>
      <c r="AS25" s="22" t="str">
        <f t="shared" si="4"/>
        <v>Learn 1 work-relevant skill (15 min)</v>
      </c>
      <c r="AT25" s="19"/>
      <c r="AU25" s="19"/>
      <c r="AV25" s="19"/>
      <c r="AW25" s="19"/>
      <c r="AX25" s="19"/>
      <c r="AY25" s="19"/>
      <c r="AZ25" s="20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</row>
    <row r="26" ht="15.75" customHeight="1">
      <c r="A26" s="1"/>
      <c r="B26" s="75" t="s">
        <v>30</v>
      </c>
      <c r="C26" s="7"/>
      <c r="D26" s="7"/>
      <c r="E26" s="7"/>
      <c r="F26" s="7"/>
      <c r="G26" s="7"/>
      <c r="H26" s="7"/>
      <c r="I26" s="7"/>
      <c r="J26" s="8"/>
      <c r="K26" s="66" t="str">
        <f>CONCATENATE(SUM(K23:Q23),"/",SUM(K24:Q24))</f>
        <v>0/70</v>
      </c>
      <c r="L26" s="19"/>
      <c r="M26" s="19"/>
      <c r="N26" s="19"/>
      <c r="O26" s="19"/>
      <c r="P26" s="19"/>
      <c r="Q26" s="20"/>
      <c r="R26" s="66" t="str">
        <f>CONCATENATE(SUM(R23:X23),"/",SUM(R24:X24))</f>
        <v>0/70</v>
      </c>
      <c r="S26" s="19"/>
      <c r="T26" s="19"/>
      <c r="U26" s="19"/>
      <c r="V26" s="19"/>
      <c r="W26" s="19"/>
      <c r="X26" s="20"/>
      <c r="Y26" s="66" t="str">
        <f>CONCATENATE(SUM(Y23:AE23),"/",SUM(Y24:AE24))</f>
        <v>0/70</v>
      </c>
      <c r="Z26" s="19"/>
      <c r="AA26" s="19"/>
      <c r="AB26" s="19"/>
      <c r="AC26" s="19"/>
      <c r="AD26" s="19"/>
      <c r="AE26" s="20"/>
      <c r="AF26" s="66" t="str">
        <f>CONCATENATE(SUM(AF23:AL23),"/",SUM(AF24:AL24))</f>
        <v>0/70</v>
      </c>
      <c r="AG26" s="19"/>
      <c r="AH26" s="19"/>
      <c r="AI26" s="19"/>
      <c r="AJ26" s="19"/>
      <c r="AK26" s="19"/>
      <c r="AL26" s="20"/>
      <c r="AM26" s="66" t="str">
        <f>CONCATENATE(SUM(AM23:AO23),"/",SUM(AM24:AO24))</f>
        <v>0/30</v>
      </c>
      <c r="AN26" s="19"/>
      <c r="AO26" s="20"/>
      <c r="AP26" s="1"/>
      <c r="AQ26" s="2"/>
      <c r="AR26" s="67">
        <v>9.0</v>
      </c>
      <c r="AS26" s="22" t="str">
        <f t="shared" si="4"/>
        <v>Write 1 page/Journel</v>
      </c>
      <c r="AT26" s="19"/>
      <c r="AU26" s="19"/>
      <c r="AV26" s="19"/>
      <c r="AW26" s="19"/>
      <c r="AX26" s="19"/>
      <c r="AY26" s="19"/>
      <c r="AZ26" s="20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</row>
    <row r="27" ht="15.75" customHeight="1">
      <c r="A27" s="1"/>
      <c r="B27" s="11"/>
      <c r="J27" s="12"/>
      <c r="K27" s="76">
        <f>IFERROR(SUM(K23:Q23)/SUM(K24:Q24),0)</f>
        <v>0</v>
      </c>
      <c r="L27" s="19"/>
      <c r="M27" s="19"/>
      <c r="N27" s="19"/>
      <c r="O27" s="19"/>
      <c r="P27" s="19"/>
      <c r="Q27" s="20"/>
      <c r="R27" s="76">
        <f>IFERROR(SUM(R23:X23)/SUM(R24:X24),0)</f>
        <v>0</v>
      </c>
      <c r="S27" s="19"/>
      <c r="T27" s="19"/>
      <c r="U27" s="19"/>
      <c r="V27" s="19"/>
      <c r="W27" s="19"/>
      <c r="X27" s="20"/>
      <c r="Y27" s="76">
        <f>IFERROR(SUM(Y23:AE23)/SUM(Y24:AE24),0)</f>
        <v>0</v>
      </c>
      <c r="Z27" s="19"/>
      <c r="AA27" s="19"/>
      <c r="AB27" s="19"/>
      <c r="AC27" s="19"/>
      <c r="AD27" s="19"/>
      <c r="AE27" s="20"/>
      <c r="AF27" s="76">
        <f>IFERROR(SUM(AF23:AL23)/SUM(AF24:AL24),0)</f>
        <v>0</v>
      </c>
      <c r="AG27" s="19"/>
      <c r="AH27" s="19"/>
      <c r="AI27" s="19"/>
      <c r="AJ27" s="19"/>
      <c r="AK27" s="19"/>
      <c r="AL27" s="20"/>
      <c r="AM27" s="76">
        <f>IFERROR(SUM(AM23:AO23)/SUM(AM24:AO24),0)</f>
        <v>0</v>
      </c>
      <c r="AN27" s="19"/>
      <c r="AO27" s="20"/>
      <c r="AP27" s="1"/>
      <c r="AQ27" s="2"/>
      <c r="AR27" s="67">
        <v>10.0</v>
      </c>
      <c r="AS27" s="22" t="str">
        <f t="shared" si="4"/>
        <v>Sleep before Midnight</v>
      </c>
      <c r="AT27" s="19"/>
      <c r="AU27" s="19"/>
      <c r="AV27" s="19"/>
      <c r="AW27" s="19"/>
      <c r="AX27" s="19"/>
      <c r="AY27" s="19"/>
      <c r="AZ27" s="20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</row>
    <row r="28" ht="15.75" customHeight="1">
      <c r="A28" s="1"/>
      <c r="B28" s="13"/>
      <c r="C28" s="14"/>
      <c r="D28" s="14"/>
      <c r="E28" s="14"/>
      <c r="F28" s="14"/>
      <c r="G28" s="14"/>
      <c r="H28" s="14"/>
      <c r="I28" s="14"/>
      <c r="J28" s="15"/>
      <c r="K28" s="22" t="str">
        <f>IFERROR(__xludf.DUMMYFUNCTION("SPARKLINE(K27,{""charttype"",""bar"";""max"",1;""color1"",""#7AA7D1""})"),"")</f>
        <v/>
      </c>
      <c r="L28" s="19"/>
      <c r="M28" s="19"/>
      <c r="N28" s="19"/>
      <c r="O28" s="19"/>
      <c r="P28" s="19"/>
      <c r="Q28" s="20"/>
      <c r="R28" s="22" t="str">
        <f>IFERROR(__xludf.DUMMYFUNCTION("SPARKLINE(R27,{""charttype"",""bar"";""max"",1;""color1"",""#7AA7D1""})"),"")</f>
        <v/>
      </c>
      <c r="S28" s="19"/>
      <c r="T28" s="19"/>
      <c r="U28" s="19"/>
      <c r="V28" s="19"/>
      <c r="W28" s="19"/>
      <c r="X28" s="20"/>
      <c r="Y28" s="22" t="str">
        <f>IFERROR(__xludf.DUMMYFUNCTION("SPARKLINE(Y27,{""charttype"",""bar"";""max"",1;""color1"",""#7AA7D1""})"),"")</f>
        <v/>
      </c>
      <c r="Z28" s="19"/>
      <c r="AA28" s="19"/>
      <c r="AB28" s="19"/>
      <c r="AC28" s="19"/>
      <c r="AD28" s="19"/>
      <c r="AE28" s="20"/>
      <c r="AF28" s="22" t="str">
        <f>IFERROR(__xludf.DUMMYFUNCTION("SPARKLINE(AF27,{""charttype"",""bar"";""max"",1;""color1"",""#7AA7D1""})"),"")</f>
        <v/>
      </c>
      <c r="AG28" s="19"/>
      <c r="AH28" s="19"/>
      <c r="AI28" s="19"/>
      <c r="AJ28" s="19"/>
      <c r="AK28" s="19"/>
      <c r="AL28" s="20"/>
      <c r="AM28" s="66" t="str">
        <f>IFERROR(__xludf.DUMMYFUNCTION("IFERROR(SPARKLINE(AM27,{""charttype"",""bar"";""max"",1;""color1"",""#7AA7D1""}),"""")"),"")</f>
        <v/>
      </c>
      <c r="AN28" s="19"/>
      <c r="AO28" s="20"/>
      <c r="AP28" s="1"/>
      <c r="AQ28" s="2"/>
      <c r="AR28" s="77"/>
      <c r="AS28" s="14"/>
      <c r="AT28" s="14"/>
      <c r="AU28" s="14"/>
      <c r="AV28" s="14"/>
      <c r="AW28" s="14"/>
      <c r="AX28" s="14"/>
      <c r="AY28" s="14"/>
      <c r="AZ28" s="15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3"/>
      <c r="AL29" s="3"/>
      <c r="AM29" s="3">
        <f t="shared" ref="AM29:AO29" si="8">IF(AM23="",0,AM23)</f>
        <v>0</v>
      </c>
      <c r="AN29" s="3">
        <f t="shared" si="8"/>
        <v>0</v>
      </c>
      <c r="AO29" s="3">
        <f t="shared" si="8"/>
        <v>0</v>
      </c>
      <c r="AP29" s="3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</row>
    <row r="31" ht="15.75" customHeight="1">
      <c r="A31" s="1"/>
      <c r="B31" s="78" t="s">
        <v>31</v>
      </c>
      <c r="C31" s="7"/>
      <c r="D31" s="7"/>
      <c r="E31" s="7"/>
      <c r="F31" s="7"/>
      <c r="G31" s="7"/>
      <c r="H31" s="8"/>
      <c r="I31" s="79" t="s">
        <v>32</v>
      </c>
      <c r="J31" s="8"/>
      <c r="K31" s="26" t="s">
        <v>22</v>
      </c>
      <c r="L31" s="7"/>
      <c r="M31" s="7"/>
      <c r="N31" s="7"/>
      <c r="O31" s="7"/>
      <c r="P31" s="7"/>
      <c r="Q31" s="8"/>
      <c r="R31" s="27" t="s">
        <v>23</v>
      </c>
      <c r="S31" s="7"/>
      <c r="T31" s="7"/>
      <c r="U31" s="7"/>
      <c r="V31" s="7"/>
      <c r="W31" s="7"/>
      <c r="X31" s="8"/>
      <c r="Y31" s="28" t="s">
        <v>24</v>
      </c>
      <c r="Z31" s="7"/>
      <c r="AA31" s="7"/>
      <c r="AB31" s="7"/>
      <c r="AC31" s="7"/>
      <c r="AD31" s="7"/>
      <c r="AE31" s="8"/>
      <c r="AF31" s="80" t="s">
        <v>25</v>
      </c>
      <c r="AG31" s="7"/>
      <c r="AH31" s="7"/>
      <c r="AI31" s="7"/>
      <c r="AJ31" s="7"/>
      <c r="AK31" s="7"/>
      <c r="AL31" s="8"/>
      <c r="AM31" s="30" t="s">
        <v>26</v>
      </c>
      <c r="AN31" s="7"/>
      <c r="AO31" s="8"/>
      <c r="AP31" s="1"/>
      <c r="AQ31" s="1"/>
      <c r="AR31" s="81" t="s">
        <v>5</v>
      </c>
      <c r="AS31" s="82" t="s">
        <v>7</v>
      </c>
      <c r="AT31" s="83">
        <f>IFERROR(BH2/BH4,0)</f>
        <v>0</v>
      </c>
      <c r="AU31" s="84" t="s">
        <v>28</v>
      </c>
      <c r="AV31" s="7"/>
      <c r="AW31" s="7"/>
      <c r="AX31" s="7"/>
      <c r="AY31" s="7"/>
      <c r="AZ31" s="8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</row>
    <row r="32" ht="15.75" customHeight="1">
      <c r="A32" s="1"/>
      <c r="B32" s="11"/>
      <c r="H32" s="12"/>
      <c r="I32" s="11"/>
      <c r="J32" s="12"/>
      <c r="K32" s="13"/>
      <c r="L32" s="14"/>
      <c r="M32" s="14"/>
      <c r="N32" s="14"/>
      <c r="O32" s="14"/>
      <c r="P32" s="14"/>
      <c r="Q32" s="15"/>
      <c r="R32" s="13"/>
      <c r="S32" s="14"/>
      <c r="T32" s="14"/>
      <c r="U32" s="14"/>
      <c r="V32" s="14"/>
      <c r="W32" s="14"/>
      <c r="X32" s="15"/>
      <c r="Y32" s="13"/>
      <c r="Z32" s="14"/>
      <c r="AA32" s="14"/>
      <c r="AB32" s="14"/>
      <c r="AC32" s="14"/>
      <c r="AD32" s="14"/>
      <c r="AE32" s="15"/>
      <c r="AF32" s="13"/>
      <c r="AG32" s="14"/>
      <c r="AH32" s="14"/>
      <c r="AI32" s="14"/>
      <c r="AJ32" s="14"/>
      <c r="AK32" s="14"/>
      <c r="AL32" s="15"/>
      <c r="AM32" s="14"/>
      <c r="AN32" s="14"/>
      <c r="AO32" s="15"/>
      <c r="AP32" s="1"/>
      <c r="AQ32" s="1"/>
      <c r="AR32" s="11"/>
      <c r="AU32" s="85" t="str">
        <f>IFERROR(__xludf.DUMMYFUNCTION("IF(B35="""","""",SPARKLINE(AT31,{""charttype"",""bar"";""max"",1;""color1"",""#7AA7D1""}))"),"")</f>
        <v/>
      </c>
      <c r="AZ32" s="12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</row>
    <row r="33" ht="15.75" customHeight="1">
      <c r="A33" s="1"/>
      <c r="B33" s="11"/>
      <c r="H33" s="12"/>
      <c r="I33" s="11"/>
      <c r="J33" s="12"/>
      <c r="K33" s="86">
        <f t="shared" ref="K33:AO33" si="9">K34</f>
        <v>46023</v>
      </c>
      <c r="L33" s="87">
        <f t="shared" si="9"/>
        <v>46024</v>
      </c>
      <c r="M33" s="87">
        <f t="shared" si="9"/>
        <v>46025</v>
      </c>
      <c r="N33" s="87">
        <f t="shared" si="9"/>
        <v>46026</v>
      </c>
      <c r="O33" s="87">
        <f t="shared" si="9"/>
        <v>46027</v>
      </c>
      <c r="P33" s="87">
        <f t="shared" si="9"/>
        <v>46028</v>
      </c>
      <c r="Q33" s="88">
        <f t="shared" si="9"/>
        <v>46029</v>
      </c>
      <c r="R33" s="89">
        <f t="shared" si="9"/>
        <v>46030</v>
      </c>
      <c r="S33" s="90">
        <f t="shared" si="9"/>
        <v>46031</v>
      </c>
      <c r="T33" s="90">
        <f t="shared" si="9"/>
        <v>46032</v>
      </c>
      <c r="U33" s="90">
        <f t="shared" si="9"/>
        <v>46033</v>
      </c>
      <c r="V33" s="90">
        <f t="shared" si="9"/>
        <v>46034</v>
      </c>
      <c r="W33" s="90">
        <f t="shared" si="9"/>
        <v>46035</v>
      </c>
      <c r="X33" s="91">
        <f t="shared" si="9"/>
        <v>46036</v>
      </c>
      <c r="Y33" s="92">
        <f t="shared" si="9"/>
        <v>46037</v>
      </c>
      <c r="Z33" s="93">
        <f t="shared" si="9"/>
        <v>46038</v>
      </c>
      <c r="AA33" s="93">
        <f t="shared" si="9"/>
        <v>46039</v>
      </c>
      <c r="AB33" s="93">
        <f t="shared" si="9"/>
        <v>46040</v>
      </c>
      <c r="AC33" s="93">
        <f t="shared" si="9"/>
        <v>46041</v>
      </c>
      <c r="AD33" s="93">
        <f t="shared" si="9"/>
        <v>46042</v>
      </c>
      <c r="AE33" s="94">
        <f t="shared" si="9"/>
        <v>46043</v>
      </c>
      <c r="AF33" s="92">
        <f t="shared" si="9"/>
        <v>46044</v>
      </c>
      <c r="AG33" s="93">
        <f t="shared" si="9"/>
        <v>46045</v>
      </c>
      <c r="AH33" s="93">
        <f t="shared" si="9"/>
        <v>46046</v>
      </c>
      <c r="AI33" s="93">
        <f t="shared" si="9"/>
        <v>46047</v>
      </c>
      <c r="AJ33" s="93">
        <f t="shared" si="9"/>
        <v>46048</v>
      </c>
      <c r="AK33" s="93">
        <f t="shared" si="9"/>
        <v>46049</v>
      </c>
      <c r="AL33" s="94">
        <f t="shared" si="9"/>
        <v>46050</v>
      </c>
      <c r="AM33" s="95">
        <f t="shared" si="9"/>
        <v>46051</v>
      </c>
      <c r="AN33" s="95">
        <f t="shared" si="9"/>
        <v>46052</v>
      </c>
      <c r="AO33" s="96">
        <f t="shared" si="9"/>
        <v>46053</v>
      </c>
      <c r="AP33" s="1"/>
      <c r="AQ33" s="1"/>
      <c r="AR33" s="11"/>
      <c r="AZ33" s="12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</row>
    <row r="34" ht="15.75" customHeight="1">
      <c r="A34" s="1"/>
      <c r="B34" s="13"/>
      <c r="C34" s="14"/>
      <c r="D34" s="14"/>
      <c r="E34" s="14"/>
      <c r="F34" s="14"/>
      <c r="G34" s="14"/>
      <c r="H34" s="15"/>
      <c r="I34" s="13"/>
      <c r="J34" s="15"/>
      <c r="K34" s="97">
        <f>DATE(E10,VLOOKUP(E11,BC1:BD12,2,FALSE),1)</f>
        <v>46023</v>
      </c>
      <c r="L34" s="98">
        <f t="shared" ref="L34:AO34" si="10">IF(MONTH(K34+1)=MONTH($K$34),K34+1,"")</f>
        <v>46024</v>
      </c>
      <c r="M34" s="98">
        <f t="shared" si="10"/>
        <v>46025</v>
      </c>
      <c r="N34" s="98">
        <f t="shared" si="10"/>
        <v>46026</v>
      </c>
      <c r="O34" s="98">
        <f t="shared" si="10"/>
        <v>46027</v>
      </c>
      <c r="P34" s="98">
        <f t="shared" si="10"/>
        <v>46028</v>
      </c>
      <c r="Q34" s="99">
        <f t="shared" si="10"/>
        <v>46029</v>
      </c>
      <c r="R34" s="100">
        <f t="shared" si="10"/>
        <v>46030</v>
      </c>
      <c r="S34" s="101">
        <f t="shared" si="10"/>
        <v>46031</v>
      </c>
      <c r="T34" s="101">
        <f t="shared" si="10"/>
        <v>46032</v>
      </c>
      <c r="U34" s="101">
        <f t="shared" si="10"/>
        <v>46033</v>
      </c>
      <c r="V34" s="101">
        <f t="shared" si="10"/>
        <v>46034</v>
      </c>
      <c r="W34" s="101">
        <f t="shared" si="10"/>
        <v>46035</v>
      </c>
      <c r="X34" s="102">
        <f t="shared" si="10"/>
        <v>46036</v>
      </c>
      <c r="Y34" s="103">
        <f t="shared" si="10"/>
        <v>46037</v>
      </c>
      <c r="Z34" s="104">
        <f t="shared" si="10"/>
        <v>46038</v>
      </c>
      <c r="AA34" s="104">
        <f t="shared" si="10"/>
        <v>46039</v>
      </c>
      <c r="AB34" s="104">
        <f t="shared" si="10"/>
        <v>46040</v>
      </c>
      <c r="AC34" s="104">
        <f t="shared" si="10"/>
        <v>46041</v>
      </c>
      <c r="AD34" s="104">
        <f t="shared" si="10"/>
        <v>46042</v>
      </c>
      <c r="AE34" s="105">
        <f t="shared" si="10"/>
        <v>46043</v>
      </c>
      <c r="AF34" s="103">
        <f t="shared" si="10"/>
        <v>46044</v>
      </c>
      <c r="AG34" s="104">
        <f t="shared" si="10"/>
        <v>46045</v>
      </c>
      <c r="AH34" s="104">
        <f t="shared" si="10"/>
        <v>46046</v>
      </c>
      <c r="AI34" s="104">
        <f t="shared" si="10"/>
        <v>46047</v>
      </c>
      <c r="AJ34" s="104">
        <f t="shared" si="10"/>
        <v>46048</v>
      </c>
      <c r="AK34" s="104">
        <f t="shared" si="10"/>
        <v>46049</v>
      </c>
      <c r="AL34" s="105">
        <f t="shared" si="10"/>
        <v>46050</v>
      </c>
      <c r="AM34" s="106">
        <f t="shared" si="10"/>
        <v>46051</v>
      </c>
      <c r="AN34" s="106">
        <f t="shared" si="10"/>
        <v>46052</v>
      </c>
      <c r="AO34" s="107">
        <f t="shared" si="10"/>
        <v>46053</v>
      </c>
      <c r="AP34" s="1"/>
      <c r="AQ34" s="1"/>
      <c r="AR34" s="13"/>
      <c r="AS34" s="14"/>
      <c r="AT34" s="14"/>
      <c r="AU34" s="14"/>
      <c r="AV34" s="14"/>
      <c r="AW34" s="14"/>
      <c r="AX34" s="14"/>
      <c r="AY34" s="14"/>
      <c r="AZ34" s="15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</row>
    <row r="35" ht="15.75" customHeight="1">
      <c r="A35" s="2">
        <v>1.0</v>
      </c>
      <c r="B35" s="108" t="s">
        <v>33</v>
      </c>
      <c r="C35" s="109"/>
      <c r="D35" s="109"/>
      <c r="E35" s="109"/>
      <c r="F35" s="109"/>
      <c r="G35" s="109"/>
      <c r="H35" s="110"/>
      <c r="I35" s="111">
        <v>30.0</v>
      </c>
      <c r="J35" s="110"/>
      <c r="K35" s="112" t="b">
        <v>0</v>
      </c>
      <c r="L35" s="113" t="b">
        <v>0</v>
      </c>
      <c r="M35" s="113" t="b">
        <v>0</v>
      </c>
      <c r="N35" s="113" t="b">
        <v>0</v>
      </c>
      <c r="O35" s="113" t="b">
        <v>0</v>
      </c>
      <c r="P35" s="113" t="b">
        <v>0</v>
      </c>
      <c r="Q35" s="114" t="b">
        <v>0</v>
      </c>
      <c r="R35" s="112" t="b">
        <v>0</v>
      </c>
      <c r="S35" s="113" t="b">
        <v>0</v>
      </c>
      <c r="T35" s="113" t="b">
        <v>0</v>
      </c>
      <c r="U35" s="113" t="b">
        <v>0</v>
      </c>
      <c r="V35" s="113" t="b">
        <v>0</v>
      </c>
      <c r="W35" s="113" t="b">
        <v>0</v>
      </c>
      <c r="X35" s="114" t="b">
        <v>0</v>
      </c>
      <c r="Y35" s="112" t="b">
        <v>0</v>
      </c>
      <c r="Z35" s="113" t="b">
        <v>0</v>
      </c>
      <c r="AA35" s="113" t="b">
        <v>0</v>
      </c>
      <c r="AB35" s="113" t="b">
        <v>0</v>
      </c>
      <c r="AC35" s="113" t="b">
        <v>0</v>
      </c>
      <c r="AD35" s="113" t="b">
        <v>0</v>
      </c>
      <c r="AE35" s="114" t="b">
        <v>0</v>
      </c>
      <c r="AF35" s="112" t="b">
        <v>0</v>
      </c>
      <c r="AG35" s="113" t="b">
        <v>0</v>
      </c>
      <c r="AH35" s="113" t="b">
        <v>0</v>
      </c>
      <c r="AI35" s="113" t="b">
        <v>0</v>
      </c>
      <c r="AJ35" s="113" t="b">
        <v>0</v>
      </c>
      <c r="AK35" s="113" t="b">
        <v>0</v>
      </c>
      <c r="AL35" s="114" t="b">
        <v>0</v>
      </c>
      <c r="AM35" s="115" t="b">
        <v>0</v>
      </c>
      <c r="AN35" s="113" t="b">
        <v>0</v>
      </c>
      <c r="AO35" s="114" t="b">
        <v>0</v>
      </c>
      <c r="AP35" s="1"/>
      <c r="AQ35" s="1"/>
      <c r="AR35" s="116">
        <f t="shared" ref="AR35:AR57" si="11">IF(B35="","", COUNTIF(K35:AO35,TRUE))</f>
        <v>0</v>
      </c>
      <c r="AS35" s="117">
        <f t="shared" ref="AS35:AS57" si="12">IF(B35="","",I35-AR35)</f>
        <v>30</v>
      </c>
      <c r="AT35" s="118">
        <f t="shared" ref="AT35:AT57" si="13">IF(B35="","",IFERROR(AR35/I35,""))</f>
        <v>0</v>
      </c>
      <c r="AU35" s="119" t="str">
        <f>IFERROR(__xludf.DUMMYFUNCTION("IF(B35="""","""",SPARKLINE(AT35,{""charttype"",""bar"";""max"",1;""color1"",""#a7c7e7""}))"),"")</f>
        <v/>
      </c>
      <c r="AV35" s="69"/>
      <c r="AW35" s="69"/>
      <c r="AX35" s="69"/>
      <c r="AY35" s="69"/>
      <c r="AZ35" s="70"/>
      <c r="BA35" s="24">
        <f t="shared" ref="BA35:BA57" si="14">IF(AT35="",0,AT35)</f>
        <v>0</v>
      </c>
      <c r="BB35" s="3"/>
      <c r="BC35" s="23"/>
      <c r="BD35" s="3"/>
      <c r="BE35" s="3"/>
      <c r="BF35" s="3"/>
      <c r="BG35" s="120" t="str">
        <f t="array" ref="BG35:BM57">SORT(B35:H57,BA35:BA57,FALSE)</f>
        <v>Wake up without snoozing</v>
      </c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1"/>
      <c r="BS35" s="1"/>
      <c r="BT35" s="1"/>
      <c r="BU35" s="1"/>
      <c r="BV35" s="1"/>
      <c r="BW35" s="12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</row>
    <row r="36" ht="15.75" customHeight="1">
      <c r="A36" s="2">
        <v>2.0</v>
      </c>
      <c r="B36" s="122" t="s">
        <v>34</v>
      </c>
      <c r="C36" s="69"/>
      <c r="D36" s="69"/>
      <c r="E36" s="69"/>
      <c r="F36" s="69"/>
      <c r="G36" s="69"/>
      <c r="H36" s="70"/>
      <c r="I36" s="123">
        <v>30.0</v>
      </c>
      <c r="J36" s="70"/>
      <c r="K36" s="124" t="b">
        <v>0</v>
      </c>
      <c r="L36" s="125" t="b">
        <v>0</v>
      </c>
      <c r="M36" s="125" t="b">
        <v>0</v>
      </c>
      <c r="N36" s="125" t="b">
        <v>0</v>
      </c>
      <c r="O36" s="125" t="b">
        <v>0</v>
      </c>
      <c r="P36" s="125" t="b">
        <v>0</v>
      </c>
      <c r="Q36" s="126" t="b">
        <v>0</v>
      </c>
      <c r="R36" s="124" t="b">
        <v>0</v>
      </c>
      <c r="S36" s="125" t="b">
        <v>0</v>
      </c>
      <c r="T36" s="125" t="b">
        <v>0</v>
      </c>
      <c r="U36" s="125" t="b">
        <v>0</v>
      </c>
      <c r="V36" s="125" t="b">
        <v>0</v>
      </c>
      <c r="W36" s="125" t="b">
        <v>0</v>
      </c>
      <c r="X36" s="126" t="b">
        <v>0</v>
      </c>
      <c r="Y36" s="124" t="b">
        <v>0</v>
      </c>
      <c r="Z36" s="125" t="b">
        <v>0</v>
      </c>
      <c r="AA36" s="125" t="b">
        <v>0</v>
      </c>
      <c r="AB36" s="125" t="b">
        <v>0</v>
      </c>
      <c r="AC36" s="125" t="b">
        <v>0</v>
      </c>
      <c r="AD36" s="125" t="b">
        <v>0</v>
      </c>
      <c r="AE36" s="126" t="b">
        <v>0</v>
      </c>
      <c r="AF36" s="124" t="b">
        <v>0</v>
      </c>
      <c r="AG36" s="125" t="b">
        <v>0</v>
      </c>
      <c r="AH36" s="125" t="b">
        <v>0</v>
      </c>
      <c r="AI36" s="125" t="b">
        <v>0</v>
      </c>
      <c r="AJ36" s="125" t="b">
        <v>0</v>
      </c>
      <c r="AK36" s="125" t="b">
        <v>0</v>
      </c>
      <c r="AL36" s="126" t="b">
        <v>0</v>
      </c>
      <c r="AM36" s="127" t="b">
        <v>0</v>
      </c>
      <c r="AN36" s="125" t="b">
        <v>0</v>
      </c>
      <c r="AO36" s="126" t="b">
        <v>0</v>
      </c>
      <c r="AP36" s="1"/>
      <c r="AQ36" s="1"/>
      <c r="AR36" s="128">
        <f t="shared" si="11"/>
        <v>0</v>
      </c>
      <c r="AS36" s="129">
        <f t="shared" si="12"/>
        <v>30</v>
      </c>
      <c r="AT36" s="130">
        <f t="shared" si="13"/>
        <v>0</v>
      </c>
      <c r="AU36" s="131" t="str">
        <f>IFERROR(__xludf.DUMMYFUNCTION("IF(B36="""","""",SPARKLINE(AT36,{""charttype"",""bar"";""max"",1;""color1"",""#a7c7e7""}))"),"")</f>
        <v/>
      </c>
      <c r="AV36" s="132"/>
      <c r="AW36" s="132"/>
      <c r="AX36" s="132"/>
      <c r="AY36" s="132"/>
      <c r="AZ36" s="133"/>
      <c r="BA36" s="24">
        <f t="shared" si="14"/>
        <v>0</v>
      </c>
      <c r="BB36" s="3"/>
      <c r="BC36" s="3"/>
      <c r="BD36" s="3"/>
      <c r="BE36" s="3"/>
      <c r="BF36" s="3"/>
      <c r="BG36" s="120" t="s">
        <v>34</v>
      </c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</row>
    <row r="37" ht="15.75" customHeight="1">
      <c r="A37" s="2">
        <v>3.0</v>
      </c>
      <c r="B37" s="122" t="s">
        <v>35</v>
      </c>
      <c r="C37" s="69"/>
      <c r="D37" s="69"/>
      <c r="E37" s="69"/>
      <c r="F37" s="69"/>
      <c r="G37" s="69"/>
      <c r="H37" s="70"/>
      <c r="I37" s="123">
        <v>30.0</v>
      </c>
      <c r="J37" s="70"/>
      <c r="K37" s="125" t="b">
        <v>0</v>
      </c>
      <c r="L37" s="125" t="b">
        <v>0</v>
      </c>
      <c r="M37" s="125" t="b">
        <v>0</v>
      </c>
      <c r="N37" s="125" t="b">
        <v>0</v>
      </c>
      <c r="O37" s="125" t="b">
        <v>0</v>
      </c>
      <c r="P37" s="125" t="b">
        <v>0</v>
      </c>
      <c r="Q37" s="126" t="b">
        <v>0</v>
      </c>
      <c r="R37" s="124" t="b">
        <v>0</v>
      </c>
      <c r="S37" s="125" t="b">
        <v>0</v>
      </c>
      <c r="T37" s="125" t="b">
        <v>0</v>
      </c>
      <c r="U37" s="125" t="b">
        <v>0</v>
      </c>
      <c r="V37" s="125" t="b">
        <v>0</v>
      </c>
      <c r="W37" s="125" t="b">
        <v>0</v>
      </c>
      <c r="X37" s="126" t="b">
        <v>0</v>
      </c>
      <c r="Y37" s="124" t="b">
        <v>0</v>
      </c>
      <c r="Z37" s="125" t="b">
        <v>0</v>
      </c>
      <c r="AA37" s="125" t="b">
        <v>0</v>
      </c>
      <c r="AB37" s="125" t="b">
        <v>0</v>
      </c>
      <c r="AC37" s="125" t="b">
        <v>0</v>
      </c>
      <c r="AD37" s="125" t="b">
        <v>0</v>
      </c>
      <c r="AE37" s="126" t="b">
        <v>0</v>
      </c>
      <c r="AF37" s="124" t="b">
        <v>0</v>
      </c>
      <c r="AG37" s="125" t="b">
        <v>0</v>
      </c>
      <c r="AH37" s="125" t="b">
        <v>0</v>
      </c>
      <c r="AI37" s="125" t="b">
        <v>0</v>
      </c>
      <c r="AJ37" s="125" t="b">
        <v>0</v>
      </c>
      <c r="AK37" s="125" t="b">
        <v>0</v>
      </c>
      <c r="AL37" s="126" t="b">
        <v>0</v>
      </c>
      <c r="AM37" s="127" t="b">
        <v>0</v>
      </c>
      <c r="AN37" s="125" t="b">
        <v>0</v>
      </c>
      <c r="AO37" s="126" t="b">
        <v>0</v>
      </c>
      <c r="AP37" s="1"/>
      <c r="AQ37" s="1"/>
      <c r="AR37" s="128">
        <f t="shared" si="11"/>
        <v>0</v>
      </c>
      <c r="AS37" s="129">
        <f t="shared" si="12"/>
        <v>30</v>
      </c>
      <c r="AT37" s="130">
        <f t="shared" si="13"/>
        <v>0</v>
      </c>
      <c r="AU37" s="131" t="str">
        <f>IFERROR(__xludf.DUMMYFUNCTION("IF(B37="""","""",SPARKLINE(AT37,{""charttype"",""bar"";""max"",1;""color1"",""#a7c7e7""}))"),"")</f>
        <v/>
      </c>
      <c r="AV37" s="132"/>
      <c r="AW37" s="132"/>
      <c r="AX37" s="132"/>
      <c r="AY37" s="132"/>
      <c r="AZ37" s="133"/>
      <c r="BA37" s="24">
        <f t="shared" si="14"/>
        <v>0</v>
      </c>
      <c r="BB37" s="3"/>
      <c r="BC37" s="3"/>
      <c r="BD37" s="3"/>
      <c r="BE37" s="3"/>
      <c r="BF37" s="3"/>
      <c r="BG37" s="120" t="s">
        <v>35</v>
      </c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</row>
    <row r="38" ht="15.75" customHeight="1">
      <c r="A38" s="2">
        <v>4.0</v>
      </c>
      <c r="B38" s="122" t="s">
        <v>36</v>
      </c>
      <c r="C38" s="69"/>
      <c r="D38" s="69"/>
      <c r="E38" s="69"/>
      <c r="F38" s="69"/>
      <c r="G38" s="69"/>
      <c r="H38" s="70"/>
      <c r="I38" s="123">
        <v>20.0</v>
      </c>
      <c r="J38" s="70"/>
      <c r="K38" s="124" t="b">
        <v>0</v>
      </c>
      <c r="L38" s="125" t="b">
        <v>0</v>
      </c>
      <c r="M38" s="125" t="b">
        <v>0</v>
      </c>
      <c r="N38" s="125" t="b">
        <v>0</v>
      </c>
      <c r="O38" s="125" t="b">
        <v>0</v>
      </c>
      <c r="P38" s="125" t="b">
        <v>0</v>
      </c>
      <c r="Q38" s="126" t="b">
        <v>0</v>
      </c>
      <c r="R38" s="124" t="b">
        <v>0</v>
      </c>
      <c r="S38" s="125" t="b">
        <v>0</v>
      </c>
      <c r="T38" s="125" t="b">
        <v>0</v>
      </c>
      <c r="U38" s="125" t="b">
        <v>0</v>
      </c>
      <c r="V38" s="125" t="b">
        <v>0</v>
      </c>
      <c r="W38" s="125" t="b">
        <v>0</v>
      </c>
      <c r="X38" s="126" t="b">
        <v>0</v>
      </c>
      <c r="Y38" s="124" t="b">
        <v>0</v>
      </c>
      <c r="Z38" s="125" t="b">
        <v>0</v>
      </c>
      <c r="AA38" s="125" t="b">
        <v>0</v>
      </c>
      <c r="AB38" s="125" t="b">
        <v>0</v>
      </c>
      <c r="AC38" s="125" t="b">
        <v>0</v>
      </c>
      <c r="AD38" s="125" t="b">
        <v>0</v>
      </c>
      <c r="AE38" s="126" t="b">
        <v>0</v>
      </c>
      <c r="AF38" s="124" t="b">
        <v>0</v>
      </c>
      <c r="AG38" s="125" t="b">
        <v>0</v>
      </c>
      <c r="AH38" s="125" t="b">
        <v>0</v>
      </c>
      <c r="AI38" s="125" t="b">
        <v>0</v>
      </c>
      <c r="AJ38" s="125" t="b">
        <v>0</v>
      </c>
      <c r="AK38" s="125" t="b">
        <v>0</v>
      </c>
      <c r="AL38" s="126" t="b">
        <v>0</v>
      </c>
      <c r="AM38" s="127" t="b">
        <v>0</v>
      </c>
      <c r="AN38" s="125" t="b">
        <v>0</v>
      </c>
      <c r="AO38" s="126" t="b">
        <v>0</v>
      </c>
      <c r="AP38" s="1"/>
      <c r="AQ38" s="1"/>
      <c r="AR38" s="128">
        <f t="shared" si="11"/>
        <v>0</v>
      </c>
      <c r="AS38" s="129">
        <f t="shared" si="12"/>
        <v>20</v>
      </c>
      <c r="AT38" s="130">
        <f t="shared" si="13"/>
        <v>0</v>
      </c>
      <c r="AU38" s="131" t="str">
        <f>IFERROR(__xludf.DUMMYFUNCTION("IF(B38="""","""",SPARKLINE(AT38,{""charttype"",""bar"";""max"",1;""color1"",""#a7c7e7""}))"),"")</f>
        <v/>
      </c>
      <c r="AV38" s="132"/>
      <c r="AW38" s="132"/>
      <c r="AX38" s="132"/>
      <c r="AY38" s="132"/>
      <c r="AZ38" s="133"/>
      <c r="BA38" s="24">
        <f t="shared" si="14"/>
        <v>0</v>
      </c>
      <c r="BB38" s="3"/>
      <c r="BC38" s="3"/>
      <c r="BD38" s="3"/>
      <c r="BE38" s="3"/>
      <c r="BF38" s="3"/>
      <c r="BG38" s="120" t="s">
        <v>36</v>
      </c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</row>
    <row r="39" ht="15.75" customHeight="1">
      <c r="A39" s="2">
        <v>6.0</v>
      </c>
      <c r="B39" s="122" t="s">
        <v>37</v>
      </c>
      <c r="C39" s="69"/>
      <c r="D39" s="69"/>
      <c r="E39" s="69"/>
      <c r="F39" s="69"/>
      <c r="G39" s="69"/>
      <c r="H39" s="70"/>
      <c r="I39" s="123">
        <v>30.0</v>
      </c>
      <c r="J39" s="70"/>
      <c r="K39" s="124" t="b">
        <v>0</v>
      </c>
      <c r="L39" s="125" t="b">
        <v>0</v>
      </c>
      <c r="M39" s="125" t="b">
        <v>0</v>
      </c>
      <c r="N39" s="125" t="b">
        <v>0</v>
      </c>
      <c r="O39" s="125" t="b">
        <v>0</v>
      </c>
      <c r="P39" s="125" t="b">
        <v>0</v>
      </c>
      <c r="Q39" s="126" t="b">
        <v>0</v>
      </c>
      <c r="R39" s="124" t="b">
        <v>0</v>
      </c>
      <c r="S39" s="125" t="b">
        <v>0</v>
      </c>
      <c r="T39" s="125" t="b">
        <v>0</v>
      </c>
      <c r="U39" s="125" t="b">
        <v>0</v>
      </c>
      <c r="V39" s="125" t="b">
        <v>0</v>
      </c>
      <c r="W39" s="125" t="b">
        <v>0</v>
      </c>
      <c r="X39" s="126" t="b">
        <v>0</v>
      </c>
      <c r="Y39" s="124" t="b">
        <v>0</v>
      </c>
      <c r="Z39" s="125" t="b">
        <v>0</v>
      </c>
      <c r="AA39" s="125" t="b">
        <v>0</v>
      </c>
      <c r="AB39" s="134" t="b">
        <v>0</v>
      </c>
      <c r="AC39" s="125" t="b">
        <v>0</v>
      </c>
      <c r="AD39" s="125" t="b">
        <v>0</v>
      </c>
      <c r="AE39" s="126" t="b">
        <v>0</v>
      </c>
      <c r="AF39" s="124" t="b">
        <v>0</v>
      </c>
      <c r="AG39" s="125" t="b">
        <v>0</v>
      </c>
      <c r="AH39" s="125" t="b">
        <v>0</v>
      </c>
      <c r="AI39" s="125" t="b">
        <v>0</v>
      </c>
      <c r="AJ39" s="125" t="b">
        <v>0</v>
      </c>
      <c r="AK39" s="125" t="b">
        <v>0</v>
      </c>
      <c r="AL39" s="126" t="b">
        <v>0</v>
      </c>
      <c r="AM39" s="127" t="b">
        <v>0</v>
      </c>
      <c r="AN39" s="134" t="b">
        <v>0</v>
      </c>
      <c r="AO39" s="135" t="b">
        <v>0</v>
      </c>
      <c r="AP39" s="1"/>
      <c r="AQ39" s="1"/>
      <c r="AR39" s="128">
        <f t="shared" si="11"/>
        <v>0</v>
      </c>
      <c r="AS39" s="129">
        <f t="shared" si="12"/>
        <v>30</v>
      </c>
      <c r="AT39" s="130">
        <f t="shared" si="13"/>
        <v>0</v>
      </c>
      <c r="AU39" s="131" t="str">
        <f>IFERROR(__xludf.DUMMYFUNCTION("IF(B39="""","""",SPARKLINE(AT39,{""charttype"",""bar"";""max"",1;""color1"",""#a7c7e7""}))"),"")</f>
        <v/>
      </c>
      <c r="AV39" s="132"/>
      <c r="AW39" s="132"/>
      <c r="AX39" s="132"/>
      <c r="AY39" s="132"/>
      <c r="AZ39" s="133"/>
      <c r="BA39" s="24">
        <f t="shared" si="14"/>
        <v>0</v>
      </c>
      <c r="BB39" s="3"/>
      <c r="BC39" s="3"/>
      <c r="BD39" s="3"/>
      <c r="BE39" s="3"/>
      <c r="BF39" s="3"/>
      <c r="BG39" s="120" t="s">
        <v>37</v>
      </c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</row>
    <row r="40" ht="15.75" customHeight="1">
      <c r="A40" s="2">
        <v>7.0</v>
      </c>
      <c r="B40" s="122" t="s">
        <v>38</v>
      </c>
      <c r="C40" s="69"/>
      <c r="D40" s="69"/>
      <c r="E40" s="69"/>
      <c r="F40" s="69"/>
      <c r="G40" s="69"/>
      <c r="H40" s="70"/>
      <c r="I40" s="123">
        <v>30.0</v>
      </c>
      <c r="J40" s="70"/>
      <c r="K40" s="124" t="b">
        <v>0</v>
      </c>
      <c r="L40" s="125" t="b">
        <v>0</v>
      </c>
      <c r="M40" s="125" t="b">
        <v>0</v>
      </c>
      <c r="N40" s="125" t="b">
        <v>0</v>
      </c>
      <c r="O40" s="125" t="b">
        <v>0</v>
      </c>
      <c r="P40" s="125" t="b">
        <v>0</v>
      </c>
      <c r="Q40" s="126" t="b">
        <v>0</v>
      </c>
      <c r="R40" s="124" t="b">
        <v>0</v>
      </c>
      <c r="S40" s="125" t="b">
        <v>0</v>
      </c>
      <c r="T40" s="125" t="b">
        <v>0</v>
      </c>
      <c r="U40" s="125" t="b">
        <v>0</v>
      </c>
      <c r="V40" s="125" t="b">
        <v>0</v>
      </c>
      <c r="W40" s="125" t="b">
        <v>0</v>
      </c>
      <c r="X40" s="126" t="b">
        <v>0</v>
      </c>
      <c r="Y40" s="124" t="b">
        <v>0</v>
      </c>
      <c r="Z40" s="125" t="b">
        <v>0</v>
      </c>
      <c r="AA40" s="125" t="b">
        <v>0</v>
      </c>
      <c r="AB40" s="125" t="b">
        <v>0</v>
      </c>
      <c r="AC40" s="125" t="b">
        <v>0</v>
      </c>
      <c r="AD40" s="125" t="b">
        <v>0</v>
      </c>
      <c r="AE40" s="135" t="b">
        <v>0</v>
      </c>
      <c r="AF40" s="136" t="b">
        <v>0</v>
      </c>
      <c r="AG40" s="134" t="b">
        <v>0</v>
      </c>
      <c r="AH40" s="134" t="b">
        <v>0</v>
      </c>
      <c r="AI40" s="125" t="b">
        <v>0</v>
      </c>
      <c r="AJ40" s="125" t="b">
        <v>0</v>
      </c>
      <c r="AK40" s="125" t="b">
        <v>0</v>
      </c>
      <c r="AL40" s="126" t="b">
        <v>0</v>
      </c>
      <c r="AM40" s="127" t="b">
        <v>0</v>
      </c>
      <c r="AN40" s="134" t="b">
        <v>0</v>
      </c>
      <c r="AO40" s="135" t="b">
        <v>0</v>
      </c>
      <c r="AP40" s="1"/>
      <c r="AQ40" s="1"/>
      <c r="AR40" s="128">
        <f t="shared" si="11"/>
        <v>0</v>
      </c>
      <c r="AS40" s="129">
        <f t="shared" si="12"/>
        <v>30</v>
      </c>
      <c r="AT40" s="130">
        <f t="shared" si="13"/>
        <v>0</v>
      </c>
      <c r="AU40" s="131" t="str">
        <f>IFERROR(__xludf.DUMMYFUNCTION("IF(B40="""","""",SPARKLINE(AT40,{""charttype"",""bar"";""max"",1;""color1"",""#a7c7e7""}))"),"")</f>
        <v/>
      </c>
      <c r="AV40" s="132"/>
      <c r="AW40" s="132"/>
      <c r="AX40" s="132"/>
      <c r="AY40" s="132"/>
      <c r="AZ40" s="133"/>
      <c r="BA40" s="24">
        <f t="shared" si="14"/>
        <v>0</v>
      </c>
      <c r="BB40" s="3"/>
      <c r="BC40" s="3"/>
      <c r="BD40" s="3"/>
      <c r="BE40" s="3"/>
      <c r="BF40" s="3"/>
      <c r="BG40" s="120" t="s">
        <v>38</v>
      </c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</row>
    <row r="41" ht="15.75" customHeight="1">
      <c r="A41" s="2">
        <v>8.0</v>
      </c>
      <c r="B41" s="122" t="s">
        <v>39</v>
      </c>
      <c r="C41" s="69"/>
      <c r="D41" s="69"/>
      <c r="E41" s="69"/>
      <c r="F41" s="69"/>
      <c r="G41" s="69"/>
      <c r="H41" s="70"/>
      <c r="I41" s="123">
        <v>25.0</v>
      </c>
      <c r="J41" s="70"/>
      <c r="K41" s="124" t="b">
        <v>0</v>
      </c>
      <c r="L41" s="125" t="b">
        <v>0</v>
      </c>
      <c r="M41" s="125" t="b">
        <v>0</v>
      </c>
      <c r="N41" s="125" t="b">
        <v>0</v>
      </c>
      <c r="O41" s="125" t="b">
        <v>0</v>
      </c>
      <c r="P41" s="125" t="b">
        <v>0</v>
      </c>
      <c r="Q41" s="126" t="b">
        <v>0</v>
      </c>
      <c r="R41" s="124" t="b">
        <v>0</v>
      </c>
      <c r="S41" s="125" t="b">
        <v>0</v>
      </c>
      <c r="T41" s="125" t="b">
        <v>0</v>
      </c>
      <c r="U41" s="125" t="b">
        <v>0</v>
      </c>
      <c r="V41" s="125" t="b">
        <v>0</v>
      </c>
      <c r="W41" s="125" t="b">
        <v>0</v>
      </c>
      <c r="X41" s="135" t="b">
        <v>0</v>
      </c>
      <c r="Y41" s="124" t="b">
        <v>0</v>
      </c>
      <c r="Z41" s="125" t="b">
        <v>0</v>
      </c>
      <c r="AA41" s="125" t="b">
        <v>0</v>
      </c>
      <c r="AB41" s="125" t="b">
        <v>0</v>
      </c>
      <c r="AC41" s="125" t="b">
        <v>0</v>
      </c>
      <c r="AD41" s="125" t="b">
        <v>0</v>
      </c>
      <c r="AE41" s="126" t="b">
        <v>0</v>
      </c>
      <c r="AF41" s="136" t="b">
        <v>0</v>
      </c>
      <c r="AG41" s="134" t="b">
        <v>0</v>
      </c>
      <c r="AH41" s="134" t="b">
        <v>0</v>
      </c>
      <c r="AI41" s="125" t="b">
        <v>0</v>
      </c>
      <c r="AJ41" s="125" t="b">
        <v>0</v>
      </c>
      <c r="AK41" s="125" t="b">
        <v>0</v>
      </c>
      <c r="AL41" s="135" t="b">
        <v>0</v>
      </c>
      <c r="AM41" s="137" t="b">
        <v>0</v>
      </c>
      <c r="AN41" s="134" t="b">
        <v>0</v>
      </c>
      <c r="AO41" s="135" t="b">
        <v>0</v>
      </c>
      <c r="AP41" s="1"/>
      <c r="AQ41" s="1"/>
      <c r="AR41" s="128">
        <f t="shared" si="11"/>
        <v>0</v>
      </c>
      <c r="AS41" s="129">
        <f t="shared" si="12"/>
        <v>25</v>
      </c>
      <c r="AT41" s="130">
        <f t="shared" si="13"/>
        <v>0</v>
      </c>
      <c r="AU41" s="131" t="str">
        <f>IFERROR(__xludf.DUMMYFUNCTION("IF(B41="""","""",SPARKLINE(AT41,{""charttype"",""bar"";""max"",1;""color1"",""#a7c7e7""}))"),"")</f>
        <v/>
      </c>
      <c r="AV41" s="132"/>
      <c r="AW41" s="132"/>
      <c r="AX41" s="132"/>
      <c r="AY41" s="132"/>
      <c r="AZ41" s="133"/>
      <c r="BA41" s="24">
        <f t="shared" si="14"/>
        <v>0</v>
      </c>
      <c r="BB41" s="3"/>
      <c r="BC41" s="3"/>
      <c r="BD41" s="3"/>
      <c r="BE41" s="3"/>
      <c r="BF41" s="3"/>
      <c r="BG41" s="120" t="s">
        <v>39</v>
      </c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</row>
    <row r="42" ht="15.75" customHeight="1">
      <c r="A42" s="2">
        <v>10.0</v>
      </c>
      <c r="B42" s="122" t="s">
        <v>40</v>
      </c>
      <c r="C42" s="69"/>
      <c r="D42" s="69"/>
      <c r="E42" s="69"/>
      <c r="F42" s="69"/>
      <c r="G42" s="69"/>
      <c r="H42" s="70"/>
      <c r="I42" s="123">
        <v>30.0</v>
      </c>
      <c r="J42" s="70"/>
      <c r="K42" s="124" t="b">
        <v>0</v>
      </c>
      <c r="L42" s="125" t="b">
        <v>0</v>
      </c>
      <c r="M42" s="125" t="b">
        <v>0</v>
      </c>
      <c r="N42" s="125" t="b">
        <v>0</v>
      </c>
      <c r="O42" s="125" t="b">
        <v>0</v>
      </c>
      <c r="P42" s="125" t="b">
        <v>0</v>
      </c>
      <c r="Q42" s="126" t="b">
        <v>0</v>
      </c>
      <c r="R42" s="124" t="b">
        <v>0</v>
      </c>
      <c r="S42" s="125" t="b">
        <v>0</v>
      </c>
      <c r="T42" s="125" t="b">
        <v>0</v>
      </c>
      <c r="U42" s="125" t="b">
        <v>0</v>
      </c>
      <c r="V42" s="125" t="b">
        <v>0</v>
      </c>
      <c r="W42" s="125" t="b">
        <v>0</v>
      </c>
      <c r="X42" s="135" t="b">
        <v>0</v>
      </c>
      <c r="Y42" s="124" t="b">
        <v>0</v>
      </c>
      <c r="Z42" s="125" t="b">
        <v>0</v>
      </c>
      <c r="AA42" s="125" t="b">
        <v>0</v>
      </c>
      <c r="AB42" s="125" t="b">
        <v>0</v>
      </c>
      <c r="AC42" s="125" t="b">
        <v>0</v>
      </c>
      <c r="AD42" s="125" t="b">
        <v>0</v>
      </c>
      <c r="AE42" s="135" t="b">
        <v>0</v>
      </c>
      <c r="AF42" s="136" t="b">
        <v>0</v>
      </c>
      <c r="AG42" s="134" t="b">
        <v>0</v>
      </c>
      <c r="AH42" s="134" t="b">
        <v>0</v>
      </c>
      <c r="AI42" s="134" t="b">
        <v>0</v>
      </c>
      <c r="AJ42" s="134" t="b">
        <v>0</v>
      </c>
      <c r="AK42" s="134" t="b">
        <v>0</v>
      </c>
      <c r="AL42" s="135" t="b">
        <v>0</v>
      </c>
      <c r="AM42" s="137" t="b">
        <v>0</v>
      </c>
      <c r="AN42" s="134" t="b">
        <v>0</v>
      </c>
      <c r="AO42" s="135" t="b">
        <v>0</v>
      </c>
      <c r="AP42" s="1"/>
      <c r="AQ42" s="1"/>
      <c r="AR42" s="128">
        <f t="shared" si="11"/>
        <v>0</v>
      </c>
      <c r="AS42" s="129">
        <f t="shared" si="12"/>
        <v>30</v>
      </c>
      <c r="AT42" s="130">
        <f t="shared" si="13"/>
        <v>0</v>
      </c>
      <c r="AU42" s="131" t="str">
        <f>IFERROR(__xludf.DUMMYFUNCTION("IF(B42="""","""",SPARKLINE(AT42,{""charttype"",""bar"";""max"",1;""color1"",""#a7c7e7""}))"),"")</f>
        <v/>
      </c>
      <c r="AV42" s="132"/>
      <c r="AW42" s="132"/>
      <c r="AX42" s="132"/>
      <c r="AY42" s="132"/>
      <c r="AZ42" s="133"/>
      <c r="BA42" s="24">
        <f t="shared" si="14"/>
        <v>0</v>
      </c>
      <c r="BB42" s="3"/>
      <c r="BC42" s="3"/>
      <c r="BD42" s="3"/>
      <c r="BE42" s="3"/>
      <c r="BF42" s="3"/>
      <c r="BG42" s="3" t="s">
        <v>40</v>
      </c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</row>
    <row r="43" ht="15.75" customHeight="1">
      <c r="A43" s="2">
        <v>11.0</v>
      </c>
      <c r="B43" s="122" t="s">
        <v>41</v>
      </c>
      <c r="C43" s="69"/>
      <c r="D43" s="69"/>
      <c r="E43" s="69"/>
      <c r="F43" s="69"/>
      <c r="G43" s="69"/>
      <c r="H43" s="70"/>
      <c r="I43" s="123">
        <v>30.0</v>
      </c>
      <c r="J43" s="70"/>
      <c r="K43" s="124" t="b">
        <v>0</v>
      </c>
      <c r="L43" s="125" t="b">
        <v>0</v>
      </c>
      <c r="M43" s="125" t="b">
        <v>0</v>
      </c>
      <c r="N43" s="125" t="b">
        <v>0</v>
      </c>
      <c r="O43" s="125" t="b">
        <v>0</v>
      </c>
      <c r="P43" s="125" t="b">
        <v>0</v>
      </c>
      <c r="Q43" s="126" t="b">
        <v>0</v>
      </c>
      <c r="R43" s="124" t="b">
        <v>0</v>
      </c>
      <c r="S43" s="125" t="b">
        <v>0</v>
      </c>
      <c r="T43" s="125" t="b">
        <v>0</v>
      </c>
      <c r="U43" s="125" t="b">
        <v>0</v>
      </c>
      <c r="V43" s="125" t="b">
        <v>0</v>
      </c>
      <c r="W43" s="125" t="b">
        <v>0</v>
      </c>
      <c r="X43" s="126" t="b">
        <v>0</v>
      </c>
      <c r="Y43" s="124" t="b">
        <v>0</v>
      </c>
      <c r="Z43" s="134" t="b">
        <v>0</v>
      </c>
      <c r="AA43" s="134" t="b">
        <v>0</v>
      </c>
      <c r="AB43" s="134" t="b">
        <v>0</v>
      </c>
      <c r="AC43" s="125" t="b">
        <v>0</v>
      </c>
      <c r="AD43" s="125" t="b">
        <v>0</v>
      </c>
      <c r="AE43" s="135" t="b">
        <v>0</v>
      </c>
      <c r="AF43" s="124" t="b">
        <v>0</v>
      </c>
      <c r="AG43" s="125" t="b">
        <v>0</v>
      </c>
      <c r="AH43" s="134" t="b">
        <v>0</v>
      </c>
      <c r="AI43" s="134" t="b">
        <v>0</v>
      </c>
      <c r="AJ43" s="134" t="b">
        <v>0</v>
      </c>
      <c r="AK43" s="134" t="b">
        <v>0</v>
      </c>
      <c r="AL43" s="135" t="b">
        <v>0</v>
      </c>
      <c r="AM43" s="137" t="b">
        <v>0</v>
      </c>
      <c r="AN43" s="134" t="b">
        <v>0</v>
      </c>
      <c r="AO43" s="135" t="b">
        <v>0</v>
      </c>
      <c r="AP43" s="1"/>
      <c r="AQ43" s="1"/>
      <c r="AR43" s="128">
        <f t="shared" si="11"/>
        <v>0</v>
      </c>
      <c r="AS43" s="129">
        <f t="shared" si="12"/>
        <v>30</v>
      </c>
      <c r="AT43" s="130">
        <f t="shared" si="13"/>
        <v>0</v>
      </c>
      <c r="AU43" s="131" t="str">
        <f>IFERROR(__xludf.DUMMYFUNCTION("IF(B43="""","""",SPARKLINE(AT43,{""charttype"",""bar"";""max"",1;""color1"",""#a7c7e7""}))"),"")</f>
        <v/>
      </c>
      <c r="AV43" s="132"/>
      <c r="AW43" s="132"/>
      <c r="AX43" s="132"/>
      <c r="AY43" s="132"/>
      <c r="AZ43" s="133"/>
      <c r="BA43" s="24">
        <f t="shared" si="14"/>
        <v>0</v>
      </c>
      <c r="BB43" s="3"/>
      <c r="BC43" s="3"/>
      <c r="BD43" s="3"/>
      <c r="BE43" s="3"/>
      <c r="BF43" s="3"/>
      <c r="BG43" s="3" t="s">
        <v>41</v>
      </c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</row>
    <row r="44" ht="15.75" customHeight="1">
      <c r="A44" s="2">
        <v>12.0</v>
      </c>
      <c r="B44" s="122" t="s">
        <v>42</v>
      </c>
      <c r="C44" s="69"/>
      <c r="D44" s="69"/>
      <c r="E44" s="69"/>
      <c r="F44" s="69"/>
      <c r="G44" s="69"/>
      <c r="H44" s="70"/>
      <c r="I44" s="123">
        <v>30.0</v>
      </c>
      <c r="J44" s="70"/>
      <c r="K44" s="124" t="b">
        <v>0</v>
      </c>
      <c r="L44" s="125" t="b">
        <v>0</v>
      </c>
      <c r="M44" s="125" t="b">
        <v>0</v>
      </c>
      <c r="N44" s="125" t="b">
        <v>0</v>
      </c>
      <c r="O44" s="125" t="b">
        <v>0</v>
      </c>
      <c r="P44" s="125" t="b">
        <v>0</v>
      </c>
      <c r="Q44" s="126" t="b">
        <v>0</v>
      </c>
      <c r="R44" s="124" t="b">
        <v>0</v>
      </c>
      <c r="S44" s="125" t="b">
        <v>0</v>
      </c>
      <c r="T44" s="125" t="b">
        <v>0</v>
      </c>
      <c r="U44" s="125" t="b">
        <v>0</v>
      </c>
      <c r="V44" s="125" t="b">
        <v>0</v>
      </c>
      <c r="W44" s="125" t="b">
        <v>0</v>
      </c>
      <c r="X44" s="126" t="b">
        <v>0</v>
      </c>
      <c r="Y44" s="124" t="b">
        <v>0</v>
      </c>
      <c r="Z44" s="125" t="b">
        <v>0</v>
      </c>
      <c r="AA44" s="134" t="b">
        <v>0</v>
      </c>
      <c r="AB44" s="134" t="b">
        <v>0</v>
      </c>
      <c r="AC44" s="134" t="b">
        <v>0</v>
      </c>
      <c r="AD44" s="134" t="b">
        <v>0</v>
      </c>
      <c r="AE44" s="135" t="b">
        <v>0</v>
      </c>
      <c r="AF44" s="136" t="b">
        <v>0</v>
      </c>
      <c r="AG44" s="134" t="b">
        <v>0</v>
      </c>
      <c r="AH44" s="134" t="b">
        <v>0</v>
      </c>
      <c r="AI44" s="134" t="b">
        <v>0</v>
      </c>
      <c r="AJ44" s="134" t="b">
        <v>0</v>
      </c>
      <c r="AK44" s="134" t="b">
        <v>0</v>
      </c>
      <c r="AL44" s="135" t="b">
        <v>0</v>
      </c>
      <c r="AM44" s="137" t="b">
        <v>0</v>
      </c>
      <c r="AN44" s="134" t="b">
        <v>0</v>
      </c>
      <c r="AO44" s="135" t="b">
        <v>0</v>
      </c>
      <c r="AP44" s="1"/>
      <c r="AQ44" s="1"/>
      <c r="AR44" s="128">
        <f t="shared" si="11"/>
        <v>0</v>
      </c>
      <c r="AS44" s="129">
        <f t="shared" si="12"/>
        <v>30</v>
      </c>
      <c r="AT44" s="130">
        <f t="shared" si="13"/>
        <v>0</v>
      </c>
      <c r="AU44" s="131" t="str">
        <f>IFERROR(__xludf.DUMMYFUNCTION("IF(B44="""","""",SPARKLINE(AT44,{""charttype"",""bar"";""max"",1;""color1"",""#a7c7e7""}))"),"")</f>
        <v/>
      </c>
      <c r="AV44" s="132"/>
      <c r="AW44" s="132"/>
      <c r="AX44" s="132"/>
      <c r="AY44" s="132"/>
      <c r="AZ44" s="133"/>
      <c r="BA44" s="24">
        <f t="shared" si="14"/>
        <v>0</v>
      </c>
      <c r="BB44" s="3"/>
      <c r="BC44" s="3"/>
      <c r="BD44" s="3"/>
      <c r="BE44" s="3"/>
      <c r="BF44" s="3"/>
      <c r="BG44" s="3" t="s">
        <v>42</v>
      </c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</row>
    <row r="45" ht="15.75" customHeight="1">
      <c r="A45" s="2">
        <v>13.0</v>
      </c>
      <c r="B45" s="122"/>
      <c r="C45" s="69"/>
      <c r="D45" s="69"/>
      <c r="E45" s="69"/>
      <c r="F45" s="69"/>
      <c r="G45" s="69"/>
      <c r="H45" s="70"/>
      <c r="I45" s="123"/>
      <c r="J45" s="70"/>
      <c r="K45" s="136" t="b">
        <v>0</v>
      </c>
      <c r="L45" s="134" t="b">
        <v>0</v>
      </c>
      <c r="M45" s="134" t="b">
        <v>0</v>
      </c>
      <c r="N45" s="134" t="b">
        <v>0</v>
      </c>
      <c r="O45" s="134" t="b">
        <v>0</v>
      </c>
      <c r="P45" s="134" t="b">
        <v>0</v>
      </c>
      <c r="Q45" s="135" t="b">
        <v>0</v>
      </c>
      <c r="R45" s="136" t="b">
        <v>0</v>
      </c>
      <c r="S45" s="134" t="b">
        <v>0</v>
      </c>
      <c r="T45" s="134" t="b">
        <v>0</v>
      </c>
      <c r="U45" s="134" t="b">
        <v>0</v>
      </c>
      <c r="V45" s="134" t="b">
        <v>0</v>
      </c>
      <c r="W45" s="134" t="b">
        <v>0</v>
      </c>
      <c r="X45" s="135" t="b">
        <v>0</v>
      </c>
      <c r="Y45" s="136" t="b">
        <v>0</v>
      </c>
      <c r="Z45" s="134" t="b">
        <v>0</v>
      </c>
      <c r="AA45" s="134" t="b">
        <v>0</v>
      </c>
      <c r="AB45" s="134" t="b">
        <v>0</v>
      </c>
      <c r="AC45" s="134" t="b">
        <v>0</v>
      </c>
      <c r="AD45" s="134" t="b">
        <v>0</v>
      </c>
      <c r="AE45" s="135" t="b">
        <v>0</v>
      </c>
      <c r="AF45" s="136" t="b">
        <v>0</v>
      </c>
      <c r="AG45" s="134" t="b">
        <v>0</v>
      </c>
      <c r="AH45" s="134" t="b">
        <v>0</v>
      </c>
      <c r="AI45" s="134" t="b">
        <v>0</v>
      </c>
      <c r="AJ45" s="134" t="b">
        <v>0</v>
      </c>
      <c r="AK45" s="134" t="b">
        <v>0</v>
      </c>
      <c r="AL45" s="135" t="b">
        <v>0</v>
      </c>
      <c r="AM45" s="137" t="b">
        <v>0</v>
      </c>
      <c r="AN45" s="134" t="b">
        <v>0</v>
      </c>
      <c r="AO45" s="135" t="b">
        <v>0</v>
      </c>
      <c r="AP45" s="1"/>
      <c r="AQ45" s="1"/>
      <c r="AR45" s="128" t="str">
        <f t="shared" si="11"/>
        <v/>
      </c>
      <c r="AS45" s="129" t="str">
        <f t="shared" si="12"/>
        <v/>
      </c>
      <c r="AT45" s="130" t="str">
        <f t="shared" si="13"/>
        <v/>
      </c>
      <c r="AU45" s="131" t="str">
        <f>IFERROR(__xludf.DUMMYFUNCTION("IF(B45="""","""",SPARKLINE(AT45,{""charttype"",""bar"";""max"",1;""color1"",""#a7c7e7""}))"),"")</f>
        <v/>
      </c>
      <c r="AV45" s="132"/>
      <c r="AW45" s="132"/>
      <c r="AX45" s="132"/>
      <c r="AY45" s="132"/>
      <c r="AZ45" s="133"/>
      <c r="BA45" s="24">
        <f t="shared" si="14"/>
        <v>0</v>
      </c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</row>
    <row r="46" ht="15.75" customHeight="1">
      <c r="A46" s="2">
        <v>14.0</v>
      </c>
      <c r="B46" s="122"/>
      <c r="C46" s="69"/>
      <c r="D46" s="69"/>
      <c r="E46" s="69"/>
      <c r="F46" s="69"/>
      <c r="G46" s="69"/>
      <c r="H46" s="70"/>
      <c r="I46" s="123"/>
      <c r="J46" s="70"/>
      <c r="K46" s="136" t="b">
        <v>0</v>
      </c>
      <c r="L46" s="134" t="b">
        <v>0</v>
      </c>
      <c r="M46" s="134" t="b">
        <v>0</v>
      </c>
      <c r="N46" s="134" t="b">
        <v>0</v>
      </c>
      <c r="O46" s="134" t="b">
        <v>0</v>
      </c>
      <c r="P46" s="134" t="b">
        <v>0</v>
      </c>
      <c r="Q46" s="135" t="b">
        <v>0</v>
      </c>
      <c r="R46" s="136" t="b">
        <v>0</v>
      </c>
      <c r="S46" s="134" t="b">
        <v>0</v>
      </c>
      <c r="T46" s="134" t="b">
        <v>0</v>
      </c>
      <c r="U46" s="134" t="b">
        <v>0</v>
      </c>
      <c r="V46" s="134" t="b">
        <v>0</v>
      </c>
      <c r="W46" s="134" t="b">
        <v>0</v>
      </c>
      <c r="X46" s="135" t="b">
        <v>0</v>
      </c>
      <c r="Y46" s="136" t="b">
        <v>0</v>
      </c>
      <c r="Z46" s="134" t="b">
        <v>0</v>
      </c>
      <c r="AA46" s="134" t="b">
        <v>0</v>
      </c>
      <c r="AB46" s="134" t="b">
        <v>0</v>
      </c>
      <c r="AC46" s="134" t="b">
        <v>0</v>
      </c>
      <c r="AD46" s="134" t="b">
        <v>0</v>
      </c>
      <c r="AE46" s="135" t="b">
        <v>0</v>
      </c>
      <c r="AF46" s="136" t="b">
        <v>0</v>
      </c>
      <c r="AG46" s="134" t="b">
        <v>0</v>
      </c>
      <c r="AH46" s="134" t="b">
        <v>0</v>
      </c>
      <c r="AI46" s="134" t="b">
        <v>0</v>
      </c>
      <c r="AJ46" s="134" t="b">
        <v>0</v>
      </c>
      <c r="AK46" s="134" t="b">
        <v>0</v>
      </c>
      <c r="AL46" s="135" t="b">
        <v>0</v>
      </c>
      <c r="AM46" s="137" t="b">
        <v>0</v>
      </c>
      <c r="AN46" s="134" t="b">
        <v>0</v>
      </c>
      <c r="AO46" s="135" t="b">
        <v>0</v>
      </c>
      <c r="AP46" s="1"/>
      <c r="AQ46" s="1"/>
      <c r="AR46" s="128" t="str">
        <f t="shared" si="11"/>
        <v/>
      </c>
      <c r="AS46" s="129" t="str">
        <f t="shared" si="12"/>
        <v/>
      </c>
      <c r="AT46" s="130" t="str">
        <f t="shared" si="13"/>
        <v/>
      </c>
      <c r="AU46" s="131" t="str">
        <f>IFERROR(__xludf.DUMMYFUNCTION("IF(B46="""","""",SPARKLINE(AT46,{""charttype"",""bar"";""max"",1;""color1"",""#a7c7e7""}))"),"")</f>
        <v/>
      </c>
      <c r="AV46" s="132"/>
      <c r="AW46" s="132"/>
      <c r="AX46" s="132"/>
      <c r="AY46" s="132"/>
      <c r="AZ46" s="133"/>
      <c r="BA46" s="24">
        <f t="shared" si="14"/>
        <v>0</v>
      </c>
      <c r="BB46" s="3"/>
      <c r="BC46" s="4" t="s">
        <v>0</v>
      </c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</row>
    <row r="47" ht="15.75" customHeight="1">
      <c r="A47" s="2">
        <v>15.0</v>
      </c>
      <c r="B47" s="122"/>
      <c r="C47" s="69"/>
      <c r="D47" s="69"/>
      <c r="E47" s="69"/>
      <c r="F47" s="69"/>
      <c r="G47" s="69"/>
      <c r="H47" s="70"/>
      <c r="I47" s="123"/>
      <c r="J47" s="70"/>
      <c r="K47" s="136" t="b">
        <v>0</v>
      </c>
      <c r="L47" s="134" t="b">
        <v>0</v>
      </c>
      <c r="M47" s="134" t="b">
        <v>0</v>
      </c>
      <c r="N47" s="134" t="b">
        <v>0</v>
      </c>
      <c r="O47" s="134" t="b">
        <v>0</v>
      </c>
      <c r="P47" s="134" t="b">
        <v>0</v>
      </c>
      <c r="Q47" s="135" t="b">
        <v>0</v>
      </c>
      <c r="R47" s="136" t="b">
        <v>0</v>
      </c>
      <c r="S47" s="134" t="b">
        <v>0</v>
      </c>
      <c r="T47" s="134" t="b">
        <v>0</v>
      </c>
      <c r="U47" s="134" t="b">
        <v>0</v>
      </c>
      <c r="V47" s="134" t="b">
        <v>0</v>
      </c>
      <c r="W47" s="134" t="b">
        <v>0</v>
      </c>
      <c r="X47" s="135" t="b">
        <v>0</v>
      </c>
      <c r="Y47" s="136" t="b">
        <v>0</v>
      </c>
      <c r="Z47" s="134" t="b">
        <v>0</v>
      </c>
      <c r="AA47" s="134" t="b">
        <v>0</v>
      </c>
      <c r="AB47" s="134" t="b">
        <v>0</v>
      </c>
      <c r="AC47" s="134" t="b">
        <v>0</v>
      </c>
      <c r="AD47" s="134" t="b">
        <v>0</v>
      </c>
      <c r="AE47" s="135" t="b">
        <v>0</v>
      </c>
      <c r="AF47" s="136" t="b">
        <v>0</v>
      </c>
      <c r="AG47" s="134" t="b">
        <v>0</v>
      </c>
      <c r="AH47" s="134" t="b">
        <v>0</v>
      </c>
      <c r="AI47" s="134" t="b">
        <v>0</v>
      </c>
      <c r="AJ47" s="134" t="b">
        <v>0</v>
      </c>
      <c r="AK47" s="134" t="b">
        <v>0</v>
      </c>
      <c r="AL47" s="135" t="b">
        <v>0</v>
      </c>
      <c r="AM47" s="137" t="b">
        <v>0</v>
      </c>
      <c r="AN47" s="134" t="b">
        <v>0</v>
      </c>
      <c r="AO47" s="135" t="b">
        <v>0</v>
      </c>
      <c r="AP47" s="1"/>
      <c r="AQ47" s="1"/>
      <c r="AR47" s="128" t="str">
        <f t="shared" si="11"/>
        <v/>
      </c>
      <c r="AS47" s="129" t="str">
        <f t="shared" si="12"/>
        <v/>
      </c>
      <c r="AT47" s="130" t="str">
        <f t="shared" si="13"/>
        <v/>
      </c>
      <c r="AU47" s="131" t="str">
        <f>IFERROR(__xludf.DUMMYFUNCTION("IF(B47="""","""",SPARKLINE(AT47,{""charttype"",""bar"";""max"",1;""color1"",""#a7c7e7""}))"),"")</f>
        <v/>
      </c>
      <c r="AV47" s="132"/>
      <c r="AW47" s="132"/>
      <c r="AX47" s="132"/>
      <c r="AY47" s="132"/>
      <c r="AZ47" s="133"/>
      <c r="BA47" s="24">
        <f t="shared" si="14"/>
        <v>0</v>
      </c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</row>
    <row r="48" ht="15.75" customHeight="1">
      <c r="A48" s="2">
        <v>16.0</v>
      </c>
      <c r="B48" s="122"/>
      <c r="C48" s="69"/>
      <c r="D48" s="69"/>
      <c r="E48" s="69"/>
      <c r="F48" s="69"/>
      <c r="G48" s="69"/>
      <c r="H48" s="70"/>
      <c r="I48" s="123"/>
      <c r="J48" s="70"/>
      <c r="K48" s="136" t="b">
        <v>0</v>
      </c>
      <c r="L48" s="134" t="b">
        <v>0</v>
      </c>
      <c r="M48" s="134" t="b">
        <v>0</v>
      </c>
      <c r="N48" s="134" t="b">
        <v>0</v>
      </c>
      <c r="O48" s="134" t="b">
        <v>0</v>
      </c>
      <c r="P48" s="134" t="b">
        <v>0</v>
      </c>
      <c r="Q48" s="135" t="b">
        <v>0</v>
      </c>
      <c r="R48" s="136" t="b">
        <v>0</v>
      </c>
      <c r="S48" s="134" t="b">
        <v>0</v>
      </c>
      <c r="T48" s="134" t="b">
        <v>0</v>
      </c>
      <c r="U48" s="134" t="b">
        <v>0</v>
      </c>
      <c r="V48" s="134" t="b">
        <v>0</v>
      </c>
      <c r="W48" s="134" t="b">
        <v>0</v>
      </c>
      <c r="X48" s="135" t="b">
        <v>0</v>
      </c>
      <c r="Y48" s="136" t="b">
        <v>0</v>
      </c>
      <c r="Z48" s="134" t="b">
        <v>0</v>
      </c>
      <c r="AA48" s="134" t="b">
        <v>0</v>
      </c>
      <c r="AB48" s="134" t="b">
        <v>0</v>
      </c>
      <c r="AC48" s="134" t="b">
        <v>0</v>
      </c>
      <c r="AD48" s="134" t="b">
        <v>0</v>
      </c>
      <c r="AE48" s="135" t="b">
        <v>0</v>
      </c>
      <c r="AF48" s="136" t="b">
        <v>0</v>
      </c>
      <c r="AG48" s="134" t="b">
        <v>0</v>
      </c>
      <c r="AH48" s="134" t="b">
        <v>0</v>
      </c>
      <c r="AI48" s="134" t="b">
        <v>0</v>
      </c>
      <c r="AJ48" s="134" t="b">
        <v>0</v>
      </c>
      <c r="AK48" s="134" t="b">
        <v>0</v>
      </c>
      <c r="AL48" s="135" t="b">
        <v>0</v>
      </c>
      <c r="AM48" s="137" t="b">
        <v>0</v>
      </c>
      <c r="AN48" s="134" t="b">
        <v>0</v>
      </c>
      <c r="AO48" s="135" t="b">
        <v>0</v>
      </c>
      <c r="AP48" s="1"/>
      <c r="AQ48" s="1"/>
      <c r="AR48" s="128" t="str">
        <f t="shared" si="11"/>
        <v/>
      </c>
      <c r="AS48" s="129" t="str">
        <f t="shared" si="12"/>
        <v/>
      </c>
      <c r="AT48" s="130" t="str">
        <f t="shared" si="13"/>
        <v/>
      </c>
      <c r="AU48" s="131" t="str">
        <f>IFERROR(__xludf.DUMMYFUNCTION("IF(B48="""","""",SPARKLINE(AT48,{""charttype"",""bar"";""max"",1;""color1"",""#a7c7e7""}))"),"")</f>
        <v/>
      </c>
      <c r="AV48" s="132"/>
      <c r="AW48" s="132"/>
      <c r="AX48" s="132"/>
      <c r="AY48" s="132"/>
      <c r="AZ48" s="133"/>
      <c r="BA48" s="24">
        <f t="shared" si="14"/>
        <v>0</v>
      </c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</row>
    <row r="49" ht="15.75" customHeight="1">
      <c r="A49" s="2">
        <v>17.0</v>
      </c>
      <c r="B49" s="122"/>
      <c r="C49" s="69"/>
      <c r="D49" s="69"/>
      <c r="E49" s="69"/>
      <c r="F49" s="69"/>
      <c r="G49" s="69"/>
      <c r="H49" s="70"/>
      <c r="I49" s="123"/>
      <c r="J49" s="70"/>
      <c r="K49" s="136" t="b">
        <v>0</v>
      </c>
      <c r="L49" s="134" t="b">
        <v>0</v>
      </c>
      <c r="M49" s="134" t="b">
        <v>0</v>
      </c>
      <c r="N49" s="134" t="b">
        <v>0</v>
      </c>
      <c r="O49" s="134" t="b">
        <v>0</v>
      </c>
      <c r="P49" s="134" t="b">
        <v>0</v>
      </c>
      <c r="Q49" s="135" t="b">
        <v>0</v>
      </c>
      <c r="R49" s="136" t="b">
        <v>0</v>
      </c>
      <c r="S49" s="134" t="b">
        <v>0</v>
      </c>
      <c r="T49" s="134" t="b">
        <v>0</v>
      </c>
      <c r="U49" s="134" t="b">
        <v>0</v>
      </c>
      <c r="V49" s="134" t="b">
        <v>0</v>
      </c>
      <c r="W49" s="134" t="b">
        <v>0</v>
      </c>
      <c r="X49" s="135" t="b">
        <v>0</v>
      </c>
      <c r="Y49" s="136" t="b">
        <v>0</v>
      </c>
      <c r="Z49" s="134" t="b">
        <v>0</v>
      </c>
      <c r="AA49" s="134" t="b">
        <v>0</v>
      </c>
      <c r="AB49" s="134" t="b">
        <v>0</v>
      </c>
      <c r="AC49" s="134" t="b">
        <v>0</v>
      </c>
      <c r="AD49" s="134" t="b">
        <v>0</v>
      </c>
      <c r="AE49" s="135" t="b">
        <v>0</v>
      </c>
      <c r="AF49" s="136" t="b">
        <v>0</v>
      </c>
      <c r="AG49" s="134" t="b">
        <v>0</v>
      </c>
      <c r="AH49" s="134" t="b">
        <v>0</v>
      </c>
      <c r="AI49" s="134" t="b">
        <v>0</v>
      </c>
      <c r="AJ49" s="134" t="b">
        <v>0</v>
      </c>
      <c r="AK49" s="134" t="b">
        <v>0</v>
      </c>
      <c r="AL49" s="135" t="b">
        <v>0</v>
      </c>
      <c r="AM49" s="137" t="b">
        <v>0</v>
      </c>
      <c r="AN49" s="134" t="b">
        <v>0</v>
      </c>
      <c r="AO49" s="135" t="b">
        <v>0</v>
      </c>
      <c r="AP49" s="1"/>
      <c r="AQ49" s="1"/>
      <c r="AR49" s="128" t="str">
        <f t="shared" si="11"/>
        <v/>
      </c>
      <c r="AS49" s="129" t="str">
        <f t="shared" si="12"/>
        <v/>
      </c>
      <c r="AT49" s="130" t="str">
        <f t="shared" si="13"/>
        <v/>
      </c>
      <c r="AU49" s="131" t="str">
        <f>IFERROR(__xludf.DUMMYFUNCTION("IF(B49="""","""",SPARKLINE(AT49,{""charttype"",""bar"";""max"",1;""color1"",""#a7c7e7""}))"),"")</f>
        <v/>
      </c>
      <c r="AV49" s="132"/>
      <c r="AW49" s="132"/>
      <c r="AX49" s="132"/>
      <c r="AY49" s="132"/>
      <c r="AZ49" s="133"/>
      <c r="BA49" s="24">
        <f t="shared" si="14"/>
        <v>0</v>
      </c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</row>
    <row r="50" ht="15.75" customHeight="1">
      <c r="A50" s="2">
        <v>18.0</v>
      </c>
      <c r="B50" s="122"/>
      <c r="C50" s="69"/>
      <c r="D50" s="69"/>
      <c r="E50" s="69"/>
      <c r="F50" s="69"/>
      <c r="G50" s="69"/>
      <c r="H50" s="70"/>
      <c r="I50" s="123"/>
      <c r="J50" s="70"/>
      <c r="K50" s="136" t="b">
        <v>0</v>
      </c>
      <c r="L50" s="134" t="b">
        <v>0</v>
      </c>
      <c r="M50" s="134" t="b">
        <v>0</v>
      </c>
      <c r="N50" s="134" t="b">
        <v>0</v>
      </c>
      <c r="O50" s="134" t="b">
        <v>0</v>
      </c>
      <c r="P50" s="134" t="b">
        <v>0</v>
      </c>
      <c r="Q50" s="135" t="b">
        <v>0</v>
      </c>
      <c r="R50" s="136" t="b">
        <v>0</v>
      </c>
      <c r="S50" s="134" t="b">
        <v>0</v>
      </c>
      <c r="T50" s="134" t="b">
        <v>0</v>
      </c>
      <c r="U50" s="134" t="b">
        <v>0</v>
      </c>
      <c r="V50" s="134" t="b">
        <v>0</v>
      </c>
      <c r="W50" s="134" t="b">
        <v>0</v>
      </c>
      <c r="X50" s="135" t="b">
        <v>0</v>
      </c>
      <c r="Y50" s="136" t="b">
        <v>0</v>
      </c>
      <c r="Z50" s="134" t="b">
        <v>0</v>
      </c>
      <c r="AA50" s="134" t="b">
        <v>0</v>
      </c>
      <c r="AB50" s="134" t="b">
        <v>0</v>
      </c>
      <c r="AC50" s="134" t="b">
        <v>0</v>
      </c>
      <c r="AD50" s="134" t="b">
        <v>0</v>
      </c>
      <c r="AE50" s="135" t="b">
        <v>0</v>
      </c>
      <c r="AF50" s="136" t="b">
        <v>0</v>
      </c>
      <c r="AG50" s="134" t="b">
        <v>0</v>
      </c>
      <c r="AH50" s="134" t="b">
        <v>0</v>
      </c>
      <c r="AI50" s="134" t="b">
        <v>0</v>
      </c>
      <c r="AJ50" s="134" t="b">
        <v>0</v>
      </c>
      <c r="AK50" s="134" t="b">
        <v>0</v>
      </c>
      <c r="AL50" s="135" t="b">
        <v>0</v>
      </c>
      <c r="AM50" s="137" t="b">
        <v>0</v>
      </c>
      <c r="AN50" s="134" t="b">
        <v>0</v>
      </c>
      <c r="AO50" s="135" t="b">
        <v>0</v>
      </c>
      <c r="AP50" s="1"/>
      <c r="AQ50" s="1"/>
      <c r="AR50" s="128" t="str">
        <f t="shared" si="11"/>
        <v/>
      </c>
      <c r="AS50" s="129" t="str">
        <f t="shared" si="12"/>
        <v/>
      </c>
      <c r="AT50" s="130" t="str">
        <f t="shared" si="13"/>
        <v/>
      </c>
      <c r="AU50" s="131" t="str">
        <f>IFERROR(__xludf.DUMMYFUNCTION("IF(B50="""","""",SPARKLINE(AT50,{""charttype"",""bar"";""max"",1;""color1"",""#a7c7e7""}))"),"")</f>
        <v/>
      </c>
      <c r="AV50" s="132"/>
      <c r="AW50" s="132"/>
      <c r="AX50" s="132"/>
      <c r="AY50" s="132"/>
      <c r="AZ50" s="133"/>
      <c r="BA50" s="24">
        <f t="shared" si="14"/>
        <v>0</v>
      </c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</row>
    <row r="51" ht="15.75" customHeight="1">
      <c r="A51" s="2">
        <v>19.0</v>
      </c>
      <c r="B51" s="122"/>
      <c r="C51" s="69"/>
      <c r="D51" s="69"/>
      <c r="E51" s="69"/>
      <c r="F51" s="69"/>
      <c r="G51" s="69"/>
      <c r="H51" s="70"/>
      <c r="I51" s="123"/>
      <c r="J51" s="70"/>
      <c r="K51" s="136" t="b">
        <v>0</v>
      </c>
      <c r="L51" s="134" t="b">
        <v>0</v>
      </c>
      <c r="M51" s="134" t="b">
        <v>0</v>
      </c>
      <c r="N51" s="134" t="b">
        <v>0</v>
      </c>
      <c r="O51" s="134" t="b">
        <v>0</v>
      </c>
      <c r="P51" s="134" t="b">
        <v>0</v>
      </c>
      <c r="Q51" s="135" t="b">
        <v>0</v>
      </c>
      <c r="R51" s="136" t="b">
        <v>0</v>
      </c>
      <c r="S51" s="134" t="b">
        <v>0</v>
      </c>
      <c r="T51" s="134" t="b">
        <v>0</v>
      </c>
      <c r="U51" s="134" t="b">
        <v>0</v>
      </c>
      <c r="V51" s="134" t="b">
        <v>0</v>
      </c>
      <c r="W51" s="134" t="b">
        <v>0</v>
      </c>
      <c r="X51" s="135" t="b">
        <v>0</v>
      </c>
      <c r="Y51" s="136" t="b">
        <v>0</v>
      </c>
      <c r="Z51" s="134" t="b">
        <v>0</v>
      </c>
      <c r="AA51" s="134" t="b">
        <v>0</v>
      </c>
      <c r="AB51" s="134" t="b">
        <v>0</v>
      </c>
      <c r="AC51" s="134" t="b">
        <v>0</v>
      </c>
      <c r="AD51" s="134" t="b">
        <v>0</v>
      </c>
      <c r="AE51" s="135" t="b">
        <v>0</v>
      </c>
      <c r="AF51" s="136" t="b">
        <v>0</v>
      </c>
      <c r="AG51" s="134" t="b">
        <v>0</v>
      </c>
      <c r="AH51" s="134" t="b">
        <v>0</v>
      </c>
      <c r="AI51" s="134" t="b">
        <v>0</v>
      </c>
      <c r="AJ51" s="134" t="b">
        <v>0</v>
      </c>
      <c r="AK51" s="134" t="b">
        <v>0</v>
      </c>
      <c r="AL51" s="135" t="b">
        <v>0</v>
      </c>
      <c r="AM51" s="137" t="b">
        <v>0</v>
      </c>
      <c r="AN51" s="134" t="b">
        <v>0</v>
      </c>
      <c r="AO51" s="135" t="b">
        <v>0</v>
      </c>
      <c r="AP51" s="1"/>
      <c r="AQ51" s="1"/>
      <c r="AR51" s="128" t="str">
        <f t="shared" si="11"/>
        <v/>
      </c>
      <c r="AS51" s="129" t="str">
        <f t="shared" si="12"/>
        <v/>
      </c>
      <c r="AT51" s="130" t="str">
        <f t="shared" si="13"/>
        <v/>
      </c>
      <c r="AU51" s="131" t="str">
        <f>IFERROR(__xludf.DUMMYFUNCTION("IF(B51="""","""",SPARKLINE(AT51,{""charttype"",""bar"";""max"",1;""color1"",""#a7c7e7""}))"),"")</f>
        <v/>
      </c>
      <c r="AV51" s="132"/>
      <c r="AW51" s="132"/>
      <c r="AX51" s="132"/>
      <c r="AY51" s="132"/>
      <c r="AZ51" s="133"/>
      <c r="BA51" s="24">
        <f t="shared" si="14"/>
        <v>0</v>
      </c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</row>
    <row r="52" ht="15.75" customHeight="1">
      <c r="A52" s="2">
        <v>20.0</v>
      </c>
      <c r="B52" s="122"/>
      <c r="C52" s="69"/>
      <c r="D52" s="69"/>
      <c r="E52" s="69"/>
      <c r="F52" s="69"/>
      <c r="G52" s="69"/>
      <c r="H52" s="70"/>
      <c r="I52" s="123"/>
      <c r="J52" s="70"/>
      <c r="K52" s="136" t="b">
        <v>0</v>
      </c>
      <c r="L52" s="134" t="b">
        <v>0</v>
      </c>
      <c r="M52" s="134" t="b">
        <v>0</v>
      </c>
      <c r="N52" s="134" t="b">
        <v>0</v>
      </c>
      <c r="O52" s="134" t="b">
        <v>0</v>
      </c>
      <c r="P52" s="134" t="b">
        <v>0</v>
      </c>
      <c r="Q52" s="135" t="b">
        <v>0</v>
      </c>
      <c r="R52" s="136" t="b">
        <v>0</v>
      </c>
      <c r="S52" s="134" t="b">
        <v>0</v>
      </c>
      <c r="T52" s="134" t="b">
        <v>0</v>
      </c>
      <c r="U52" s="134" t="b">
        <v>0</v>
      </c>
      <c r="V52" s="134" t="b">
        <v>0</v>
      </c>
      <c r="W52" s="134" t="b">
        <v>0</v>
      </c>
      <c r="X52" s="135" t="b">
        <v>0</v>
      </c>
      <c r="Y52" s="136" t="b">
        <v>0</v>
      </c>
      <c r="Z52" s="134" t="b">
        <v>0</v>
      </c>
      <c r="AA52" s="134" t="b">
        <v>0</v>
      </c>
      <c r="AB52" s="134" t="b">
        <v>0</v>
      </c>
      <c r="AC52" s="134" t="b">
        <v>0</v>
      </c>
      <c r="AD52" s="134" t="b">
        <v>0</v>
      </c>
      <c r="AE52" s="135" t="b">
        <v>0</v>
      </c>
      <c r="AF52" s="136" t="b">
        <v>0</v>
      </c>
      <c r="AG52" s="134" t="b">
        <v>0</v>
      </c>
      <c r="AH52" s="134" t="b">
        <v>0</v>
      </c>
      <c r="AI52" s="134" t="b">
        <v>0</v>
      </c>
      <c r="AJ52" s="134" t="b">
        <v>0</v>
      </c>
      <c r="AK52" s="134" t="b">
        <v>0</v>
      </c>
      <c r="AL52" s="135" t="b">
        <v>0</v>
      </c>
      <c r="AM52" s="137" t="b">
        <v>0</v>
      </c>
      <c r="AN52" s="134" t="b">
        <v>0</v>
      </c>
      <c r="AO52" s="135" t="b">
        <v>0</v>
      </c>
      <c r="AP52" s="1"/>
      <c r="AQ52" s="1"/>
      <c r="AR52" s="128" t="str">
        <f t="shared" si="11"/>
        <v/>
      </c>
      <c r="AS52" s="129" t="str">
        <f t="shared" si="12"/>
        <v/>
      </c>
      <c r="AT52" s="130" t="str">
        <f t="shared" si="13"/>
        <v/>
      </c>
      <c r="AU52" s="131" t="str">
        <f>IFERROR(__xludf.DUMMYFUNCTION("IF(B52="""","""",SPARKLINE(AT52,{""charttype"",""bar"";""max"",1;""color1"",""#a7c7e7""}))"),"")</f>
        <v/>
      </c>
      <c r="AV52" s="132"/>
      <c r="AW52" s="132"/>
      <c r="AX52" s="132"/>
      <c r="AY52" s="132"/>
      <c r="AZ52" s="133"/>
      <c r="BA52" s="24">
        <f t="shared" si="14"/>
        <v>0</v>
      </c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</row>
    <row r="53" ht="15.75" customHeight="1">
      <c r="A53" s="2">
        <v>21.0</v>
      </c>
      <c r="B53" s="122"/>
      <c r="C53" s="69"/>
      <c r="D53" s="69"/>
      <c r="E53" s="69"/>
      <c r="F53" s="69"/>
      <c r="G53" s="69"/>
      <c r="H53" s="70"/>
      <c r="I53" s="123"/>
      <c r="J53" s="70"/>
      <c r="K53" s="136" t="b">
        <v>0</v>
      </c>
      <c r="L53" s="134" t="b">
        <v>0</v>
      </c>
      <c r="M53" s="134" t="b">
        <v>0</v>
      </c>
      <c r="N53" s="134" t="b">
        <v>0</v>
      </c>
      <c r="O53" s="134" t="b">
        <v>0</v>
      </c>
      <c r="P53" s="134" t="b">
        <v>0</v>
      </c>
      <c r="Q53" s="135" t="b">
        <v>0</v>
      </c>
      <c r="R53" s="136" t="b">
        <v>0</v>
      </c>
      <c r="S53" s="134" t="b">
        <v>0</v>
      </c>
      <c r="T53" s="134" t="b">
        <v>0</v>
      </c>
      <c r="U53" s="134" t="b">
        <v>0</v>
      </c>
      <c r="V53" s="134" t="b">
        <v>0</v>
      </c>
      <c r="W53" s="134" t="b">
        <v>0</v>
      </c>
      <c r="X53" s="135" t="b">
        <v>0</v>
      </c>
      <c r="Y53" s="136" t="b">
        <v>0</v>
      </c>
      <c r="Z53" s="134" t="b">
        <v>0</v>
      </c>
      <c r="AA53" s="134" t="b">
        <v>0</v>
      </c>
      <c r="AB53" s="134" t="b">
        <v>0</v>
      </c>
      <c r="AC53" s="134" t="b">
        <v>0</v>
      </c>
      <c r="AD53" s="134" t="b">
        <v>0</v>
      </c>
      <c r="AE53" s="135" t="b">
        <v>0</v>
      </c>
      <c r="AF53" s="136" t="b">
        <v>0</v>
      </c>
      <c r="AG53" s="134" t="b">
        <v>0</v>
      </c>
      <c r="AH53" s="134" t="b">
        <v>0</v>
      </c>
      <c r="AI53" s="134" t="b">
        <v>0</v>
      </c>
      <c r="AJ53" s="134" t="b">
        <v>0</v>
      </c>
      <c r="AK53" s="134" t="b">
        <v>0</v>
      </c>
      <c r="AL53" s="135" t="b">
        <v>0</v>
      </c>
      <c r="AM53" s="137" t="b">
        <v>0</v>
      </c>
      <c r="AN53" s="134" t="b">
        <v>0</v>
      </c>
      <c r="AO53" s="135" t="b">
        <v>0</v>
      </c>
      <c r="AP53" s="1"/>
      <c r="AQ53" s="1"/>
      <c r="AR53" s="128" t="str">
        <f t="shared" si="11"/>
        <v/>
      </c>
      <c r="AS53" s="129" t="str">
        <f t="shared" si="12"/>
        <v/>
      </c>
      <c r="AT53" s="130" t="str">
        <f t="shared" si="13"/>
        <v/>
      </c>
      <c r="AU53" s="131" t="str">
        <f>IFERROR(__xludf.DUMMYFUNCTION("IF(B53="""","""",SPARKLINE(AT53,{""charttype"",""bar"";""max"",1;""color1"",""#a7c7e7""}))"),"")</f>
        <v/>
      </c>
      <c r="AV53" s="132"/>
      <c r="AW53" s="132"/>
      <c r="AX53" s="132"/>
      <c r="AY53" s="132"/>
      <c r="AZ53" s="133"/>
      <c r="BA53" s="24">
        <f t="shared" si="14"/>
        <v>0</v>
      </c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</row>
    <row r="54" ht="15.75" customHeight="1">
      <c r="A54" s="2">
        <v>22.0</v>
      </c>
      <c r="B54" s="122"/>
      <c r="C54" s="69"/>
      <c r="D54" s="69"/>
      <c r="E54" s="69"/>
      <c r="F54" s="69"/>
      <c r="G54" s="69"/>
      <c r="H54" s="70"/>
      <c r="I54" s="123"/>
      <c r="J54" s="70"/>
      <c r="K54" s="136" t="b">
        <v>0</v>
      </c>
      <c r="L54" s="134" t="b">
        <v>0</v>
      </c>
      <c r="M54" s="134" t="b">
        <v>0</v>
      </c>
      <c r="N54" s="134" t="b">
        <v>0</v>
      </c>
      <c r="O54" s="134" t="b">
        <v>0</v>
      </c>
      <c r="P54" s="134" t="b">
        <v>0</v>
      </c>
      <c r="Q54" s="135" t="b">
        <v>0</v>
      </c>
      <c r="R54" s="136" t="b">
        <v>0</v>
      </c>
      <c r="S54" s="134" t="b">
        <v>0</v>
      </c>
      <c r="T54" s="134" t="b">
        <v>0</v>
      </c>
      <c r="U54" s="134" t="b">
        <v>0</v>
      </c>
      <c r="V54" s="134" t="b">
        <v>0</v>
      </c>
      <c r="W54" s="134" t="b">
        <v>0</v>
      </c>
      <c r="X54" s="135" t="b">
        <v>0</v>
      </c>
      <c r="Y54" s="136" t="b">
        <v>0</v>
      </c>
      <c r="Z54" s="134" t="b">
        <v>0</v>
      </c>
      <c r="AA54" s="134" t="b">
        <v>0</v>
      </c>
      <c r="AB54" s="134" t="b">
        <v>0</v>
      </c>
      <c r="AC54" s="134" t="b">
        <v>0</v>
      </c>
      <c r="AD54" s="134" t="b">
        <v>0</v>
      </c>
      <c r="AE54" s="135" t="b">
        <v>0</v>
      </c>
      <c r="AF54" s="136" t="b">
        <v>0</v>
      </c>
      <c r="AG54" s="134" t="b">
        <v>0</v>
      </c>
      <c r="AH54" s="134" t="b">
        <v>0</v>
      </c>
      <c r="AI54" s="134" t="b">
        <v>0</v>
      </c>
      <c r="AJ54" s="134" t="b">
        <v>0</v>
      </c>
      <c r="AK54" s="134" t="b">
        <v>0</v>
      </c>
      <c r="AL54" s="135" t="b">
        <v>0</v>
      </c>
      <c r="AM54" s="137" t="b">
        <v>0</v>
      </c>
      <c r="AN54" s="134" t="b">
        <v>0</v>
      </c>
      <c r="AO54" s="135" t="b">
        <v>0</v>
      </c>
      <c r="AP54" s="1"/>
      <c r="AQ54" s="1"/>
      <c r="AR54" s="128" t="str">
        <f t="shared" si="11"/>
        <v/>
      </c>
      <c r="AS54" s="129" t="str">
        <f t="shared" si="12"/>
        <v/>
      </c>
      <c r="AT54" s="130" t="str">
        <f t="shared" si="13"/>
        <v/>
      </c>
      <c r="AU54" s="131" t="str">
        <f>IFERROR(__xludf.DUMMYFUNCTION("IF(B54="""","""",SPARKLINE(AT54,{""charttype"",""bar"";""max"",1;""color1"",""#a7c7e7""}))"),"")</f>
        <v/>
      </c>
      <c r="AV54" s="132"/>
      <c r="AW54" s="132"/>
      <c r="AX54" s="132"/>
      <c r="AY54" s="132"/>
      <c r="AZ54" s="133"/>
      <c r="BA54" s="24">
        <f t="shared" si="14"/>
        <v>0</v>
      </c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</row>
    <row r="55" ht="15.75" customHeight="1">
      <c r="A55" s="2">
        <v>23.0</v>
      </c>
      <c r="B55" s="122"/>
      <c r="C55" s="69"/>
      <c r="D55" s="69"/>
      <c r="E55" s="69"/>
      <c r="F55" s="69"/>
      <c r="G55" s="69"/>
      <c r="H55" s="70"/>
      <c r="I55" s="123"/>
      <c r="J55" s="70"/>
      <c r="K55" s="136" t="b">
        <v>0</v>
      </c>
      <c r="L55" s="134" t="b">
        <v>0</v>
      </c>
      <c r="M55" s="134" t="b">
        <v>0</v>
      </c>
      <c r="N55" s="134" t="b">
        <v>0</v>
      </c>
      <c r="O55" s="134" t="b">
        <v>0</v>
      </c>
      <c r="P55" s="134" t="b">
        <v>0</v>
      </c>
      <c r="Q55" s="135" t="b">
        <v>0</v>
      </c>
      <c r="R55" s="136" t="b">
        <v>0</v>
      </c>
      <c r="S55" s="134" t="b">
        <v>0</v>
      </c>
      <c r="T55" s="134" t="b">
        <v>0</v>
      </c>
      <c r="U55" s="134" t="b">
        <v>0</v>
      </c>
      <c r="V55" s="134" t="b">
        <v>0</v>
      </c>
      <c r="W55" s="134" t="b">
        <v>0</v>
      </c>
      <c r="X55" s="135" t="b">
        <v>0</v>
      </c>
      <c r="Y55" s="136" t="b">
        <v>0</v>
      </c>
      <c r="Z55" s="134" t="b">
        <v>0</v>
      </c>
      <c r="AA55" s="134" t="b">
        <v>0</v>
      </c>
      <c r="AB55" s="134" t="b">
        <v>0</v>
      </c>
      <c r="AC55" s="134" t="b">
        <v>0</v>
      </c>
      <c r="AD55" s="134" t="b">
        <v>0</v>
      </c>
      <c r="AE55" s="135" t="b">
        <v>0</v>
      </c>
      <c r="AF55" s="136" t="b">
        <v>0</v>
      </c>
      <c r="AG55" s="134" t="b">
        <v>0</v>
      </c>
      <c r="AH55" s="134" t="b">
        <v>0</v>
      </c>
      <c r="AI55" s="134" t="b">
        <v>0</v>
      </c>
      <c r="AJ55" s="134" t="b">
        <v>0</v>
      </c>
      <c r="AK55" s="134" t="b">
        <v>0</v>
      </c>
      <c r="AL55" s="135" t="b">
        <v>0</v>
      </c>
      <c r="AM55" s="137" t="b">
        <v>0</v>
      </c>
      <c r="AN55" s="134" t="b">
        <v>0</v>
      </c>
      <c r="AO55" s="135" t="b">
        <v>0</v>
      </c>
      <c r="AP55" s="1"/>
      <c r="AQ55" s="1"/>
      <c r="AR55" s="128" t="str">
        <f t="shared" si="11"/>
        <v/>
      </c>
      <c r="AS55" s="129" t="str">
        <f t="shared" si="12"/>
        <v/>
      </c>
      <c r="AT55" s="130" t="str">
        <f t="shared" si="13"/>
        <v/>
      </c>
      <c r="AU55" s="131" t="str">
        <f>IFERROR(__xludf.DUMMYFUNCTION("IF(B55="""","""",SPARKLINE(AT55,{""charttype"",""bar"";""max"",1;""color1"",""#a7c7e7""}))"),"")</f>
        <v/>
      </c>
      <c r="AV55" s="132"/>
      <c r="AW55" s="132"/>
      <c r="AX55" s="132"/>
      <c r="AY55" s="132"/>
      <c r="AZ55" s="133"/>
      <c r="BA55" s="24">
        <f t="shared" si="14"/>
        <v>0</v>
      </c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</row>
    <row r="56" ht="15.75" customHeight="1">
      <c r="A56" s="2">
        <v>24.0</v>
      </c>
      <c r="B56" s="122"/>
      <c r="C56" s="69"/>
      <c r="D56" s="69"/>
      <c r="E56" s="69"/>
      <c r="F56" s="69"/>
      <c r="G56" s="69"/>
      <c r="H56" s="70"/>
      <c r="I56" s="123"/>
      <c r="J56" s="70"/>
      <c r="K56" s="136" t="b">
        <v>0</v>
      </c>
      <c r="L56" s="134" t="b">
        <v>0</v>
      </c>
      <c r="M56" s="134" t="b">
        <v>0</v>
      </c>
      <c r="N56" s="134" t="b">
        <v>0</v>
      </c>
      <c r="O56" s="134" t="b">
        <v>0</v>
      </c>
      <c r="P56" s="134" t="b">
        <v>0</v>
      </c>
      <c r="Q56" s="135" t="b">
        <v>0</v>
      </c>
      <c r="R56" s="136" t="b">
        <v>0</v>
      </c>
      <c r="S56" s="134" t="b">
        <v>0</v>
      </c>
      <c r="T56" s="134" t="b">
        <v>0</v>
      </c>
      <c r="U56" s="134" t="b">
        <v>0</v>
      </c>
      <c r="V56" s="134" t="b">
        <v>0</v>
      </c>
      <c r="W56" s="134" t="b">
        <v>0</v>
      </c>
      <c r="X56" s="135" t="b">
        <v>0</v>
      </c>
      <c r="Y56" s="136" t="b">
        <v>0</v>
      </c>
      <c r="Z56" s="134" t="b">
        <v>0</v>
      </c>
      <c r="AA56" s="134" t="b">
        <v>0</v>
      </c>
      <c r="AB56" s="134" t="b">
        <v>0</v>
      </c>
      <c r="AC56" s="134" t="b">
        <v>0</v>
      </c>
      <c r="AD56" s="134" t="b">
        <v>0</v>
      </c>
      <c r="AE56" s="135" t="b">
        <v>0</v>
      </c>
      <c r="AF56" s="136" t="b">
        <v>0</v>
      </c>
      <c r="AG56" s="134" t="b">
        <v>0</v>
      </c>
      <c r="AH56" s="134" t="b">
        <v>0</v>
      </c>
      <c r="AI56" s="134" t="b">
        <v>0</v>
      </c>
      <c r="AJ56" s="134" t="b">
        <v>0</v>
      </c>
      <c r="AK56" s="134" t="b">
        <v>0</v>
      </c>
      <c r="AL56" s="135" t="b">
        <v>0</v>
      </c>
      <c r="AM56" s="137" t="b">
        <v>0</v>
      </c>
      <c r="AN56" s="134" t="b">
        <v>0</v>
      </c>
      <c r="AO56" s="135" t="b">
        <v>0</v>
      </c>
      <c r="AP56" s="1"/>
      <c r="AQ56" s="1"/>
      <c r="AR56" s="128" t="str">
        <f t="shared" si="11"/>
        <v/>
      </c>
      <c r="AS56" s="129" t="str">
        <f t="shared" si="12"/>
        <v/>
      </c>
      <c r="AT56" s="130" t="str">
        <f t="shared" si="13"/>
        <v/>
      </c>
      <c r="AU56" s="131" t="str">
        <f>IFERROR(__xludf.DUMMYFUNCTION("IF(B56="""","""",SPARKLINE(AT56,{""charttype"",""bar"";""max"",1;""color1"",""#a7c7e7""}))"),"")</f>
        <v/>
      </c>
      <c r="AV56" s="132"/>
      <c r="AW56" s="132"/>
      <c r="AX56" s="132"/>
      <c r="AY56" s="132"/>
      <c r="AZ56" s="133"/>
      <c r="BA56" s="24">
        <f t="shared" si="14"/>
        <v>0</v>
      </c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</row>
    <row r="57" ht="15.75" customHeight="1">
      <c r="A57" s="2">
        <v>25.0</v>
      </c>
      <c r="B57" s="138"/>
      <c r="C57" s="14"/>
      <c r="D57" s="14"/>
      <c r="E57" s="14"/>
      <c r="F57" s="14"/>
      <c r="G57" s="14"/>
      <c r="H57" s="15"/>
      <c r="I57" s="139"/>
      <c r="J57" s="15"/>
      <c r="K57" s="140" t="b">
        <v>0</v>
      </c>
      <c r="L57" s="141" t="b">
        <v>0</v>
      </c>
      <c r="M57" s="141" t="b">
        <v>0</v>
      </c>
      <c r="N57" s="141" t="b">
        <v>0</v>
      </c>
      <c r="O57" s="141" t="b">
        <v>0</v>
      </c>
      <c r="P57" s="141" t="b">
        <v>0</v>
      </c>
      <c r="Q57" s="142" t="b">
        <v>0</v>
      </c>
      <c r="R57" s="140" t="b">
        <v>0</v>
      </c>
      <c r="S57" s="141" t="b">
        <v>0</v>
      </c>
      <c r="T57" s="141" t="b">
        <v>0</v>
      </c>
      <c r="U57" s="141" t="b">
        <v>0</v>
      </c>
      <c r="V57" s="141" t="b">
        <v>0</v>
      </c>
      <c r="W57" s="141" t="b">
        <v>0</v>
      </c>
      <c r="X57" s="142" t="b">
        <v>0</v>
      </c>
      <c r="Y57" s="140" t="b">
        <v>0</v>
      </c>
      <c r="Z57" s="141" t="b">
        <v>0</v>
      </c>
      <c r="AA57" s="141" t="b">
        <v>0</v>
      </c>
      <c r="AB57" s="141" t="b">
        <v>0</v>
      </c>
      <c r="AC57" s="141" t="b">
        <v>0</v>
      </c>
      <c r="AD57" s="141" t="b">
        <v>0</v>
      </c>
      <c r="AE57" s="142" t="b">
        <v>0</v>
      </c>
      <c r="AF57" s="140" t="b">
        <v>0</v>
      </c>
      <c r="AG57" s="141" t="b">
        <v>0</v>
      </c>
      <c r="AH57" s="141" t="b">
        <v>0</v>
      </c>
      <c r="AI57" s="141" t="b">
        <v>0</v>
      </c>
      <c r="AJ57" s="141" t="b">
        <v>0</v>
      </c>
      <c r="AK57" s="141" t="b">
        <v>0</v>
      </c>
      <c r="AL57" s="142" t="b">
        <v>0</v>
      </c>
      <c r="AM57" s="143" t="b">
        <v>0</v>
      </c>
      <c r="AN57" s="141" t="b">
        <v>0</v>
      </c>
      <c r="AO57" s="144" t="b">
        <v>0</v>
      </c>
      <c r="AP57" s="1"/>
      <c r="AQ57" s="1"/>
      <c r="AR57" s="145" t="str">
        <f t="shared" si="11"/>
        <v/>
      </c>
      <c r="AS57" s="146" t="str">
        <f t="shared" si="12"/>
        <v/>
      </c>
      <c r="AT57" s="147" t="str">
        <f t="shared" si="13"/>
        <v/>
      </c>
      <c r="AU57" s="148" t="str">
        <f>IFERROR(__xludf.DUMMYFUNCTION("IF(B57="""","""",SPARKLINE(AT57,{""charttype"",""bar"";""max"",1;""color1"",""#a7c7e7""}))"),"")</f>
        <v/>
      </c>
      <c r="AV57" s="149"/>
      <c r="AW57" s="149"/>
      <c r="AX57" s="149"/>
      <c r="AY57" s="149"/>
      <c r="AZ57" s="150"/>
      <c r="BA57" s="24">
        <f t="shared" si="14"/>
        <v>0</v>
      </c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</row>
    <row r="1002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</row>
    <row r="1003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</row>
    <row r="1004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</row>
    <row r="1005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</row>
    <row r="100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</row>
    <row r="1007" ht="15.7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</row>
    <row r="1008" ht="15.7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</row>
    <row r="1009" ht="15.7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</row>
    <row r="1010" ht="15.7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</row>
    <row r="1011" ht="15.7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</row>
    <row r="1012" ht="15.7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</row>
    <row r="1013" ht="15.75" customHeight="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</row>
    <row r="1014" ht="15.75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</row>
    <row r="1015" ht="15.75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</row>
  </sheetData>
  <mergeCells count="134">
    <mergeCell ref="B2:H4"/>
    <mergeCell ref="AR2:AZ3"/>
    <mergeCell ref="AR4:AZ11"/>
    <mergeCell ref="B5:H6"/>
    <mergeCell ref="B9:H9"/>
    <mergeCell ref="B10:D10"/>
    <mergeCell ref="E10:H10"/>
    <mergeCell ref="B11:D11"/>
    <mergeCell ref="E11:H11"/>
    <mergeCell ref="B13:J16"/>
    <mergeCell ref="K13:Q14"/>
    <mergeCell ref="R13:X14"/>
    <mergeCell ref="Y13:AE14"/>
    <mergeCell ref="AF13:AL14"/>
    <mergeCell ref="AS22:AZ22"/>
    <mergeCell ref="AS23:AZ23"/>
    <mergeCell ref="AS24:AZ24"/>
    <mergeCell ref="AS25:AZ25"/>
    <mergeCell ref="AS26:AZ26"/>
    <mergeCell ref="AS27:AZ27"/>
    <mergeCell ref="AR28:AZ28"/>
    <mergeCell ref="AM13:AO14"/>
    <mergeCell ref="AR13:AZ16"/>
    <mergeCell ref="AR17:AZ17"/>
    <mergeCell ref="AS18:AZ18"/>
    <mergeCell ref="AS19:AZ19"/>
    <mergeCell ref="AS20:AZ20"/>
    <mergeCell ref="AS21:AZ21"/>
    <mergeCell ref="B17:J22"/>
    <mergeCell ref="K17:Q22"/>
    <mergeCell ref="R17:X22"/>
    <mergeCell ref="Y17:AE22"/>
    <mergeCell ref="AF17:AL22"/>
    <mergeCell ref="AM17:AO22"/>
    <mergeCell ref="B23:J23"/>
    <mergeCell ref="K26:Q26"/>
    <mergeCell ref="K27:Q27"/>
    <mergeCell ref="AF27:AL27"/>
    <mergeCell ref="AM27:AO27"/>
    <mergeCell ref="B35:H35"/>
    <mergeCell ref="I35:J35"/>
    <mergeCell ref="B36:H36"/>
    <mergeCell ref="I36:J36"/>
    <mergeCell ref="B37:H37"/>
    <mergeCell ref="I37:J37"/>
    <mergeCell ref="I38:J38"/>
    <mergeCell ref="B38:H38"/>
    <mergeCell ref="B39:H39"/>
    <mergeCell ref="I39:J39"/>
    <mergeCell ref="B40:H40"/>
    <mergeCell ref="I40:J40"/>
    <mergeCell ref="B41:H41"/>
    <mergeCell ref="I41:J41"/>
    <mergeCell ref="B43:H43"/>
    <mergeCell ref="I43:J43"/>
    <mergeCell ref="B44:H44"/>
    <mergeCell ref="I44:J44"/>
    <mergeCell ref="B45:H45"/>
    <mergeCell ref="I45:J45"/>
    <mergeCell ref="I46:J46"/>
    <mergeCell ref="B46:H46"/>
    <mergeCell ref="B47:H47"/>
    <mergeCell ref="I47:J47"/>
    <mergeCell ref="B48:H48"/>
    <mergeCell ref="I48:J48"/>
    <mergeCell ref="B49:H49"/>
    <mergeCell ref="I49:J49"/>
    <mergeCell ref="B50:H50"/>
    <mergeCell ref="I50:J50"/>
    <mergeCell ref="B51:H51"/>
    <mergeCell ref="I51:J51"/>
    <mergeCell ref="B52:H52"/>
    <mergeCell ref="I52:J52"/>
    <mergeCell ref="I53:J53"/>
    <mergeCell ref="B57:H57"/>
    <mergeCell ref="I57:J57"/>
    <mergeCell ref="B53:H53"/>
    <mergeCell ref="B54:H54"/>
    <mergeCell ref="I54:J54"/>
    <mergeCell ref="B55:H55"/>
    <mergeCell ref="I55:J55"/>
    <mergeCell ref="B56:H56"/>
    <mergeCell ref="I56:J56"/>
    <mergeCell ref="AU42:AZ42"/>
    <mergeCell ref="AU43:AZ43"/>
    <mergeCell ref="AU44:AZ44"/>
    <mergeCell ref="AU45:AZ45"/>
    <mergeCell ref="AU46:AZ46"/>
    <mergeCell ref="AU47:AZ47"/>
    <mergeCell ref="AU48:AZ48"/>
    <mergeCell ref="AU56:AZ56"/>
    <mergeCell ref="AU57:AZ57"/>
    <mergeCell ref="AU49:AZ49"/>
    <mergeCell ref="AU50:AZ50"/>
    <mergeCell ref="AU51:AZ51"/>
    <mergeCell ref="AU52:AZ52"/>
    <mergeCell ref="AU53:AZ53"/>
    <mergeCell ref="AU54:AZ54"/>
    <mergeCell ref="AU55:AZ55"/>
    <mergeCell ref="R27:X27"/>
    <mergeCell ref="Y27:AE27"/>
    <mergeCell ref="Y28:AE28"/>
    <mergeCell ref="AF28:AL28"/>
    <mergeCell ref="B24:J24"/>
    <mergeCell ref="B25:J25"/>
    <mergeCell ref="B26:J28"/>
    <mergeCell ref="R26:X26"/>
    <mergeCell ref="Y26:AE26"/>
    <mergeCell ref="AF26:AL26"/>
    <mergeCell ref="AM26:AO26"/>
    <mergeCell ref="AM28:AO28"/>
    <mergeCell ref="K28:Q28"/>
    <mergeCell ref="R28:X28"/>
    <mergeCell ref="B31:H34"/>
    <mergeCell ref="I31:J34"/>
    <mergeCell ref="K31:Q32"/>
    <mergeCell ref="R31:X32"/>
    <mergeCell ref="Y31:AE32"/>
    <mergeCell ref="AF31:AL32"/>
    <mergeCell ref="AM31:AO32"/>
    <mergeCell ref="AR31:AR34"/>
    <mergeCell ref="AS31:AS34"/>
    <mergeCell ref="AT31:AT34"/>
    <mergeCell ref="AU31:AZ31"/>
    <mergeCell ref="AU32:AZ34"/>
    <mergeCell ref="B42:H42"/>
    <mergeCell ref="I42:J42"/>
    <mergeCell ref="AU35:AZ35"/>
    <mergeCell ref="AU36:AZ36"/>
    <mergeCell ref="AU37:AZ37"/>
    <mergeCell ref="AU38:AZ38"/>
    <mergeCell ref="AU39:AZ39"/>
    <mergeCell ref="AU40:AZ40"/>
    <mergeCell ref="AU41:AZ41"/>
  </mergeCells>
  <dataValidations>
    <dataValidation type="list" allowBlank="1" showErrorMessage="1" sqref="E11">
      <formula1>'January 2026'!$BC$1:$BC$12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1" t="s">
        <v>43</v>
      </c>
    </row>
    <row r="2">
      <c r="A2" s="152"/>
    </row>
    <row r="3">
      <c r="A3" s="153" t="s">
        <v>44</v>
      </c>
    </row>
    <row r="4">
      <c r="A4" s="153" t="s">
        <v>45</v>
      </c>
    </row>
    <row r="5">
      <c r="A5" s="152"/>
    </row>
    <row r="6">
      <c r="A6" s="153" t="s">
        <v>46</v>
      </c>
    </row>
    <row r="7">
      <c r="A7" s="153" t="s">
        <v>47</v>
      </c>
    </row>
    <row r="8">
      <c r="A8" s="153" t="s">
        <v>48</v>
      </c>
    </row>
    <row r="9">
      <c r="A9" s="152"/>
    </row>
    <row r="10">
      <c r="A10" s="153" t="s">
        <v>49</v>
      </c>
    </row>
    <row r="11">
      <c r="A11" s="153" t="s">
        <v>50</v>
      </c>
    </row>
    <row r="12">
      <c r="A12" s="152"/>
    </row>
    <row r="13">
      <c r="A13" s="153" t="s">
        <v>51</v>
      </c>
    </row>
    <row r="14">
      <c r="A14" s="153" t="s">
        <v>52</v>
      </c>
    </row>
    <row r="15">
      <c r="A15" s="152"/>
    </row>
    <row r="16">
      <c r="A16" s="153" t="s">
        <v>53</v>
      </c>
    </row>
    <row r="17">
      <c r="A17" s="153" t="s">
        <v>54</v>
      </c>
    </row>
    <row r="18">
      <c r="A18" s="154"/>
    </row>
    <row r="19">
      <c r="A19" s="154" t="s">
        <v>55</v>
      </c>
    </row>
    <row r="20">
      <c r="A20" s="155"/>
    </row>
    <row r="21">
      <c r="A21" s="156" t="s">
        <v>56</v>
      </c>
    </row>
    <row r="22">
      <c r="A22" s="155"/>
    </row>
    <row r="23">
      <c r="A23" s="156" t="s">
        <v>57</v>
      </c>
    </row>
    <row r="24">
      <c r="A24" s="155"/>
    </row>
    <row r="25">
      <c r="A25" s="156" t="s">
        <v>58</v>
      </c>
    </row>
    <row r="26">
      <c r="A26" s="154"/>
    </row>
    <row r="27">
      <c r="A27" s="154" t="s">
        <v>59</v>
      </c>
    </row>
    <row r="28">
      <c r="A28" s="155"/>
    </row>
    <row r="29">
      <c r="A29" s="156" t="s">
        <v>60</v>
      </c>
    </row>
    <row r="30">
      <c r="A30" s="156" t="s">
        <v>61</v>
      </c>
    </row>
    <row r="31">
      <c r="A31" s="156" t="s">
        <v>62</v>
      </c>
    </row>
  </sheetData>
  <drawing r:id="rId1"/>
</worksheet>
</file>